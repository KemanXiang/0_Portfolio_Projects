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1760"/>
  </bookViews>
  <sheets>
    <sheet name="Meter1 TOU Detail" sheetId="1" r:id="rId1"/>
    <sheet name="Meter2 TOU Detail" sheetId="2" r:id="rId2"/>
    <sheet name="Combined TOU Profile" sheetId="3" r:id="rId3"/>
    <sheet name="Documentation" sheetId="4" r:id="rId4"/>
    <sheet name="Model Assumptions" sheetId="5" r:id="rId5"/>
    <sheet name="PV Production" sheetId="6" r:id="rId6"/>
    <sheet name="ESS Sizing" sheetId="7" r:id="rId7"/>
    <sheet name="Scenarios" sheetId="8" r:id="rId8"/>
    <sheet name="Financial" sheetId="9" r:id="rId9"/>
    <sheet name="Recommendation" sheetId="10" r:id="rId10"/>
    <sheet name="Sources" sheetId="11" r:id="rId11"/>
    <sheet name="Proposal Summary" sheetId="12" state="hidden" r:id="rId12"/>
    <sheet name="Project Overview" sheetId="24" state="hidden" r:id="rId13"/>
    <sheet name="0.1Project Overview" sheetId="25" r:id="rId14"/>
    <sheet name="0.2Proposal Dashboard" sheetId="19" r:id="rId15"/>
    <sheet name="1PV Proposal" sheetId="13" r:id="rId16"/>
    <sheet name="2ESS Proposal" sheetId="14" r:id="rId17"/>
    <sheet name="3Rebates Incentives" sheetId="15" r:id="rId18"/>
    <sheet name="4Electric Bills" sheetId="16" r:id="rId19"/>
    <sheet name="5Cash Purchase" sheetId="17" r:id="rId20"/>
    <sheet name="6Detailed Cash Flow" sheetId="18" r:id="rId21"/>
    <sheet name="Proposal Checklist" sheetId="20" r:id="rId22"/>
    <sheet name="PV-ESS Energy Flow" sheetId="22" r:id="rId23"/>
    <sheet name="Demand Charge" sheetId="23"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<sst xmlns="http://schemas.openxmlformats.org/spreadsheetml/2006/main" count="1089" uniqueCount="721">
  <si>
    <t>Meter 1 TOU Detail Historical Load &amp; TOU Detail</t>
  </si>
  <si>
    <t>Service account 8001881589 | Tariff TOU-GS-2-E | Meter 1</t>
  </si>
  <si>
    <t>Billing Period</t>
  </si>
  <si>
    <t>Start Date</t>
  </si>
  <si>
    <t>End Date</t>
  </si>
  <si>
    <t>Days</t>
  </si>
  <si>
    <t>Total Load (kWh)</t>
  </si>
  <si>
    <t>Bill Total ($)</t>
  </si>
  <si>
    <t>Summer On-Peak kWh</t>
  </si>
  <si>
    <t>Summer On-Peak Energy $</t>
  </si>
  <si>
    <t>Summer Mid-Peak kWh</t>
  </si>
  <si>
    <t>Summer Mid-Peak Energy $</t>
  </si>
  <si>
    <t>Summer Off-Peak kWh</t>
  </si>
  <si>
    <t>Summer Off-Peak Energy $</t>
  </si>
  <si>
    <t>Winter Mid-Peak kWh</t>
  </si>
  <si>
    <t>Winter Mid-Peak Energy $</t>
  </si>
  <si>
    <t>Winter Off-Peak kWh</t>
  </si>
  <si>
    <t>Winter Off-Peak Energy $</t>
  </si>
  <si>
    <t>Winter Super-Off-Peak kWh</t>
  </si>
  <si>
    <t>Winter Super-Off-Peak Energy $</t>
  </si>
  <si>
    <t>Max Demand (kW)</t>
  </si>
  <si>
    <t>Base Demand Charge ($)</t>
  </si>
  <si>
    <t>Summer On-Peak Demand (kW)</t>
  </si>
  <si>
    <t>Summer On-Peak Demand $</t>
  </si>
  <si>
    <t>Winter Mid-Peak Demand (kW)</t>
  </si>
  <si>
    <t>Winter Mid-Peak Demand $</t>
  </si>
  <si>
    <t>TOU Energy Charges ($)</t>
  </si>
  <si>
    <t>Demand Charges ($)</t>
  </si>
  <si>
    <t>Other / Residual Charges ($)</t>
  </si>
  <si>
    <t>Source</t>
  </si>
  <si>
    <t>Data Quality</t>
  </si>
  <si>
    <t>Oct 2023</t>
  </si>
  <si>
    <t>09/20/2023</t>
  </si>
  <si>
    <t>10/19/2023</t>
  </si>
  <si>
    <t>https://utilityapi.com/api/v2/files/pdf_bill/1689169/8001881589_2023-09-20_to_2023-10-19.pdf</t>
  </si>
  <si>
    <t>Complete</t>
  </si>
  <si>
    <t>Nov 2023</t>
  </si>
  <si>
    <t>11/20/2023</t>
  </si>
  <si>
    <t>https://utilityapi.com/api/v2/files/pdf_bill/1689169/8001881589_2023-10-19_to_2023-11-20.pdf</t>
  </si>
  <si>
    <t>Dec 2023</t>
  </si>
  <si>
    <t>12/20/2023</t>
  </si>
  <si>
    <t>https://utilityapi.com/api/v2/files/pdf_bill/1689169/8001881589_2023-11-20_to_2023-12-20.pdf</t>
  </si>
  <si>
    <t>Jan 2024</t>
  </si>
  <si>
    <t>01/22/2024</t>
  </si>
  <si>
    <t>https://utilityapi.com/api/v2/files/pdf_bill/1689169/8001881589_2023-12-20_to_2024-01-22.pdf</t>
  </si>
  <si>
    <t>Feb 2024</t>
  </si>
  <si>
    <t>02/21/2024</t>
  </si>
  <si>
    <t>https://utilityapi.com/api/v2/files/pdf_bill/1689169/8001881589_2024-01-22_to_2024-02-21.pdf</t>
  </si>
  <si>
    <t>Mar 2024</t>
  </si>
  <si>
    <t>03/21/2024</t>
  </si>
  <si>
    <t>https://utilityapi.com/api/v2/files/pdf_bill/1689169/8001881589_2024-02-21_to_2024-03-21.pdf</t>
  </si>
  <si>
    <t>Apr 2024</t>
  </si>
  <si>
    <t>04/22/2024</t>
  </si>
  <si>
    <t>https://utilityapi.com/api/v2/files/pdf_bill/1689169/8001881589_2024-03-21_to_2024-04-22.pdf</t>
  </si>
  <si>
    <t>May TOU scale factor</t>
  </si>
  <si>
    <t>May 2024</t>
  </si>
  <si>
    <t>05/21/2024</t>
  </si>
  <si>
    <t>Estimated May TOU: Jun summer components + Apr winter components</t>
  </si>
  <si>
    <t>Jun 2024</t>
  </si>
  <si>
    <t>06/20/2024</t>
  </si>
  <si>
    <t>https://utilityapi.com/api/v2/files/pdf_bill/1689169/8001881589_2024-05-21_to_2024-06-20.pdf</t>
  </si>
  <si>
    <t>Jul 2024</t>
  </si>
  <si>
    <t>07/23/2024</t>
  </si>
  <si>
    <t>https://utilityapi.com/api/v2/files/pdf_bill/1689169/8001881589_2024-06-20_to_2024-07-23.pdf</t>
  </si>
  <si>
    <t>Aug 2024</t>
  </si>
  <si>
    <t>08/21/2024</t>
  </si>
  <si>
    <t>https://utilityapi.com/api/v2/files/pdf_bill/1689169/8001881589_2024-07-23_to_2024-08-21.pdf</t>
  </si>
  <si>
    <t>Sep 2024</t>
  </si>
  <si>
    <t>09/20/2024</t>
  </si>
  <si>
    <t>https://utilityapi.com/api/v2/files/pdf_bill/1689169/8001881589_2024-08-21_to_2024-09-20.pdf</t>
  </si>
  <si>
    <t>12-Period Total</t>
  </si>
  <si>
    <t>Meter 2 TOU Detail Historical Load &amp; TOU Detail</t>
  </si>
  <si>
    <t>Service account 8013693720 | Tariff TOU-8-D | Meter 2</t>
  </si>
  <si>
    <t>https://utilityapi.com/api/v2/files/pdf_bill/1689171/8013693720_2023-09-20_to_2023-10-19.pdf</t>
  </si>
  <si>
    <t>https://utilityapi.com/api/v2/files/pdf_bill/1689171/8013693720_2023-10-19_to_2023-11-20.pdf</t>
  </si>
  <si>
    <t>https://utilityapi.com/api/v2/files/pdf_bill/1689171/8013693720_2023-11-20_to_2023-12-20.pdf</t>
  </si>
  <si>
    <t>https://utilityapi.com/api/v2/files/pdf_bill/1689171/8013693720_2023-12-20_to_2024-01-22.pdf</t>
  </si>
  <si>
    <t>https://utilityapi.com/api/v2/files/pdf_bill/1689171/8013693720_2024-01-22_to_2024-02-21.pdf</t>
  </si>
  <si>
    <t>https://utilityapi.com/api/v2/files/pdf_bill/1689171/8013693720_2024-02-21_to_2024-03-21.pdf</t>
  </si>
  <si>
    <t>https://utilityapi.com/api/v2/files/pdf_bill/1689171/8013693720_2024-03-21_to_2024-04-22.pdf</t>
  </si>
  <si>
    <t>https://utilityapi.com/api/v2/files/pdf_bill/1689171/8013693720_2024-04-22_to_2024-05-21.pdf</t>
  </si>
  <si>
    <t>https://utilityapi.com/api/v2/files/pdf_bill/1689171/8013693720_2024-05-21_to_2024-06-20.pdf</t>
  </si>
  <si>
    <t>https://utilityapi.com/api/v2/files/pdf_bill/1689171/8013693720_2024-06-20_to_2024-07-23.pdf</t>
  </si>
  <si>
    <t>https://utilityapi.com/api/v2/files/pdf_bill/1689171/8013693720_2024-07-23_to_2024-08-21.pdf</t>
  </si>
  <si>
    <t>https://utilityapi.com/api/v2/files/pdf_bill/1689171/8013693720_2024-08-21_to_2024-09-20.pdf</t>
  </si>
  <si>
    <t>Barstow Historical Load &amp; TOU Profile</t>
  </si>
  <si>
    <t xml:space="preserve">Two-account baseline: Meter 1 + Meter 2. Annual electricity consumption = 709,501 kWh. </t>
  </si>
  <si>
    <t>Meter 1 Load (kWh)</t>
  </si>
  <si>
    <t>Meter 2 Load (kWh)</t>
  </si>
  <si>
    <t>Combined Load (kWh)</t>
  </si>
  <si>
    <t>On-Peak kWh</t>
  </si>
  <si>
    <t>Mid-Peak kWh</t>
  </si>
  <si>
    <t>Off-Peak kWh</t>
  </si>
  <si>
    <t>Super-Off-Peak kWh</t>
  </si>
  <si>
    <t>Meter 1 Max Demand kW</t>
  </si>
  <si>
    <t>Meter 2 Max Demand kW</t>
  </si>
  <si>
    <t>Site Max-Demand Indicator kW</t>
  </si>
  <si>
    <t>Meter 1 TOU Peak Demand kW</t>
  </si>
  <si>
    <t>Meter 2 TOU Peak Demand kW</t>
  </si>
  <si>
    <t>Energy Charges ($)</t>
  </si>
  <si>
    <t>TOU kWh Reconciliation</t>
  </si>
  <si>
    <t>Notes</t>
  </si>
  <si>
    <t>Site max-demand indicator is MAX(account peaks), not a coincident summed site peak.</t>
  </si>
  <si>
    <t>Estimated — Meter1 May TOU from adjacent periods</t>
  </si>
  <si>
    <t>Meter 1 May TOU estimated using adjacent Apr/Jun periods and scaled to known 6,057-kWh total; 2957 remains actual source data. Site max-demand indicator is MAX(account peaks), not coincident summed demand.</t>
  </si>
  <si>
    <t>12-Period Total / Summary</t>
  </si>
  <si>
    <t>Annual load verified</t>
  </si>
  <si>
    <t>Barstow Historical Load &amp; TOU Profile — Documentation</t>
  </si>
  <si>
    <t>Item</t>
  </si>
  <si>
    <t>Definition / Method</t>
  </si>
  <si>
    <t>Baseline window</t>
  </si>
  <si>
    <t>12 billing cycles ending Oct 2023 through Sep 2024.</t>
  </si>
  <si>
    <t>Verified annual electricity consumption</t>
  </si>
  <si>
    <t>709,501 kWh = 117,058 kWh (Meter 1) + 592,443 kWh (Meter 2). This is electricity load, not PV generation.</t>
  </si>
  <si>
    <t>Summer On-Peak usage from the source utility records.</t>
  </si>
  <si>
    <t>Summer Mid-Peak + Winter Mid-Peak usage.</t>
  </si>
  <si>
    <t>Summer Off-Peak + Winter Off-Peak usage.</t>
  </si>
  <si>
    <t>Winter Super-Off-Peak usage.</t>
  </si>
  <si>
    <t>TOU peak demand</t>
  </si>
  <si>
    <t>Summer On-Peak Demand kW in summer; Winter Mid-Peak Demand kW in winter/mixed periods.</t>
  </si>
  <si>
    <t>Site max-demand indicator</t>
  </si>
  <si>
    <t xml:space="preserve">MAX of the two account-level monthly maximum demands. </t>
  </si>
  <si>
    <t>Energy charges</t>
  </si>
  <si>
    <t>Sum of the available seasonal TOU energy-charge fields in each bill record.</t>
  </si>
  <si>
    <t>May 2024 estimation</t>
  </si>
  <si>
    <t xml:space="preserve">Meter 1 May 2024 total load (6,057 kWh) and bill total are observed. Missing TOU detail is estimated from the immediately adjacent Apr and Jun 2024 periods. Seasonal components are taken from the nearest applicable adjacent period and proportionally scaled so estimated TOU kWh reconcile exactly to the observed 6,057-kWh May total. Max demand/base demand charge use the Apr–Jun average. </t>
  </si>
  <si>
    <t>Residual charges</t>
  </si>
  <si>
    <t>Bill total minus extracted TOU energy charges minus extracted demand charges; may include customer, taxes, reactive/other charges not separately represented in the source columns.</t>
  </si>
  <si>
    <t>Barstow PV &amp; ESS Sizing Model — Assumptions</t>
  </si>
  <si>
    <t>Category</t>
  </si>
  <si>
    <t>Input</t>
  </si>
  <si>
    <t>Value</t>
  </si>
  <si>
    <t>Unit</t>
  </si>
  <si>
    <t>Status</t>
  </si>
  <si>
    <t>Basis / Note</t>
  </si>
  <si>
    <t>Load</t>
  </si>
  <si>
    <t>Verified annual load</t>
  </si>
  <si>
    <t>kWh/year</t>
  </si>
  <si>
    <t>Verified</t>
  </si>
  <si>
    <t>12-period historical baseline</t>
  </si>
  <si>
    <t>PV</t>
  </si>
  <si>
    <t>Panel nameplate</t>
  </si>
  <si>
    <t>kW DC/panel</t>
  </si>
  <si>
    <t>Specified</t>
  </si>
  <si>
    <t>485 W panel</t>
  </si>
  <si>
    <t>Reference PV capacity</t>
  </si>
  <si>
    <t>kW DC</t>
  </si>
  <si>
    <t>Historical modeled</t>
  </si>
  <si>
    <t>ETB PV configuration</t>
  </si>
  <si>
    <t>Reference annual PV generation</t>
  </si>
  <si>
    <t>ETB modeled generation</t>
  </si>
  <si>
    <t>Reference panel count</t>
  </si>
  <si>
    <t>panels</t>
  </si>
  <si>
    <t>485 kW / 0.485 kW per panel</t>
  </si>
  <si>
    <t>Minimum annual coverage</t>
  </si>
  <si>
    <t>x</t>
  </si>
  <si>
    <t>Constraint</t>
  </si>
  <si>
    <t>Annual PV generation must be &gt;= verified annual load</t>
  </si>
  <si>
    <t>ESS</t>
  </si>
  <si>
    <t>Battery sizing-unit energy</t>
  </si>
  <si>
    <t>kWh/unit</t>
  </si>
  <si>
    <t>Product-source basis</t>
  </si>
  <si>
    <t>215.04 kWh battery cluster sizing unit</t>
  </si>
  <si>
    <t>Design discharge rate</t>
  </si>
  <si>
    <t>C</t>
  </si>
  <si>
    <t>0.5C listed for 215.04 kWh battery cluster</t>
  </si>
  <si>
    <t>Implied sizing-unit power</t>
  </si>
  <si>
    <t>kW/unit</t>
  </si>
  <si>
    <t>Energy × C-rate</t>
  </si>
  <si>
    <t>Usable energy fraction</t>
  </si>
  <si>
    <t>Modeling assumption</t>
  </si>
  <si>
    <t>Conservative usable-energy assumption.</t>
  </si>
  <si>
    <t>Discharge efficiency</t>
  </si>
  <si>
    <t>Assumed discharge efficiency.</t>
  </si>
  <si>
    <t>Legacy demand-shave reference (retired from proposal calc)</t>
  </si>
  <si>
    <t>Assumption</t>
  </si>
  <si>
    <t>Screening target, not measured dispatch result</t>
  </si>
  <si>
    <t>Finance</t>
  </si>
  <si>
    <t>Export value</t>
  </si>
  <si>
    <t>$/kWh</t>
  </si>
  <si>
    <t>value for PV surplus</t>
  </si>
  <si>
    <t>PV installed cost</t>
  </si>
  <si>
    <t>$/W DC</t>
  </si>
  <si>
    <t>Historical internal value</t>
  </si>
  <si>
    <t>cost snapshot</t>
  </si>
  <si>
    <t>ESS installed cost</t>
  </si>
  <si>
    <t>component-level ESS cost snapshot</t>
  </si>
  <si>
    <t>Analysis horizon</t>
  </si>
  <si>
    <t>years</t>
  </si>
  <si>
    <t>Screening financial horizon</t>
  </si>
  <si>
    <t>Discount rate</t>
  </si>
  <si>
    <t>Historical assumption</t>
  </si>
  <si>
    <t>proposal financial assumption</t>
  </si>
  <si>
    <t>Electricity escalation</t>
  </si>
  <si>
    <t>x/year</t>
  </si>
  <si>
    <t>PV degradation</t>
  </si>
  <si>
    <t>Proposal demand-shave target (Meter 2 account, kW)</t>
  </si>
  <si>
    <t>Federal ITC proposal-case rate</t>
  </si>
  <si>
    <t>Current policy</t>
  </si>
  <si>
    <t>48E/PWA/eligibility verified</t>
  </si>
  <si>
    <t>Federal depreciation effective tax-benefit rate</t>
  </si>
  <si>
    <t>30% tax rate × 85% post-ITC depreciable basis</t>
  </si>
  <si>
    <t>California depreciation effective tax-benefit rate</t>
  </si>
  <si>
    <t>official website verified</t>
  </si>
  <si>
    <t>AC PCS rating per 215.04-kWh unit</t>
  </si>
  <si>
    <t>kW AC/unit</t>
  </si>
  <si>
    <t>Comparable-product benchmark</t>
  </si>
  <si>
    <t>Total AC PCS rating — 2 units</t>
  </si>
  <si>
    <t>kW AC</t>
  </si>
  <si>
    <t>Derived assumption</t>
  </si>
  <si>
    <t>2 × 100 kW assumed AC PCS.</t>
  </si>
  <si>
    <t>PV Panel Sizing &amp; Monthly Production</t>
  </si>
  <si>
    <t>Monthly PV shape is calculated from the 485-kW panel. Candidate-system production is scaled linearly by DC capacity. Load uses billing-cycle ending month, so month-to-month comparison is a screening approximation rather than interval simulation.</t>
  </si>
  <si>
    <t>Month</t>
  </si>
  <si>
    <t>Historical Load (kWh)</t>
  </si>
  <si>
    <t>Reference PV Gen @485kW (kWh)</t>
  </si>
  <si>
    <t>Reference Yield (kWh/kW)</t>
  </si>
  <si>
    <t>Min Panels Candidate</t>
  </si>
  <si>
    <t>Candidate PV DC (kW)</t>
  </si>
  <si>
    <t>Candidate PV Gen (kWh)</t>
  </si>
  <si>
    <t>Monthly Surplus/(Deficit) (kWh)</t>
  </si>
  <si>
    <t>PV-to-Load</t>
  </si>
  <si>
    <t>Self-Consumed PV Proxy (kWh)</t>
  </si>
  <si>
    <t>Export/Surplus Proxy (kWh)</t>
  </si>
  <si>
    <t>Annual</t>
  </si>
  <si>
    <t>SPT6800 ESS Sizing — TOU Energy + Peak Demand</t>
  </si>
  <si>
    <t>Energy sizing uses average daily On+Mid-Peak energy; power sizing uses the fixed 100-kW proposal demand-shave target. The 215.04-kWh / 0.5C sizing basis comes from the SPT product material.</t>
  </si>
  <si>
    <t>Period</t>
  </si>
  <si>
    <t>Peak-Window Energy (kWh)</t>
  </si>
  <si>
    <t>Avg Daily Peak-Window Energy (kWh/day)</t>
  </si>
  <si>
    <t>Site Max-Demand Indicator (kW)</t>
  </si>
  <si>
    <t>Target Peak Shave (kW)</t>
  </si>
  <si>
    <t>Usable Delivered Energy / Unit (kWh)</t>
  </si>
  <si>
    <t>Power / Unit (kW)</t>
  </si>
  <si>
    <t>Units by Energy</t>
  </si>
  <si>
    <t>Units by Power</t>
  </si>
  <si>
    <t>Required Units</t>
  </si>
  <si>
    <t>Data Status</t>
  </si>
  <si>
    <t>Design Requirement</t>
  </si>
  <si>
    <t>PV + ESS Configuration Scenarios</t>
  </si>
  <si>
    <t>Scenario</t>
  </si>
  <si>
    <t>PV Panels</t>
  </si>
  <si>
    <t>PV DC (kW)</t>
  </si>
  <si>
    <t>Annual PV Gen (kWh)</t>
  </si>
  <si>
    <t>Annual Coverage</t>
  </si>
  <si>
    <t>ESS Units</t>
  </si>
  <si>
    <t>ESS Nominal Energy (kWh)</t>
  </si>
  <si>
    <t>ESS Screening Power (kW)</t>
  </si>
  <si>
    <t>Energy Sizing Pass</t>
  </si>
  <si>
    <t>Power Sizing Pass</t>
  </si>
  <si>
    <t>PV Cost ($)</t>
  </si>
  <si>
    <t>ESS Cost ($)</t>
  </si>
  <si>
    <t>Total Installed Cost ($)</t>
  </si>
  <si>
    <t>Year-1 Screening Savings ($)</t>
  </si>
  <si>
    <t>Simple Payback (yrs)</t>
  </si>
  <si>
    <t>Constraint Status</t>
  </si>
  <si>
    <t>Minimum</t>
  </si>
  <si>
    <t>Balanced A</t>
  </si>
  <si>
    <t>Balanced B</t>
  </si>
  <si>
    <t>Higher Storage</t>
  </si>
  <si>
    <t>Historical PV Scale</t>
  </si>
  <si>
    <t>Preliminary Electricity-Cost Savings</t>
  </si>
  <si>
    <t>PV savings use extracted historical energy-charge intensity for self-consumed load plus an editable export value for surplus. ESS demand savings use the target peak-shave fraction applied to extracted historical demand charges.</t>
  </si>
  <si>
    <t>PV Gen (kWh)</t>
  </si>
  <si>
    <t>PV Surplus (kWh)</t>
  </si>
  <si>
    <t>Historical Energy-Charge Rate ($/kWh)</t>
  </si>
  <si>
    <t>PV Energy Savings ($)</t>
  </si>
  <si>
    <t>PV Export Value ($)</t>
  </si>
  <si>
    <t>ESS Demand Savings ($)</t>
  </si>
  <si>
    <t>Other ESS TOU Arbitrage ($)</t>
  </si>
  <si>
    <t>Metric</t>
  </si>
  <si>
    <t>Historical 12-period bill total</t>
  </si>
  <si>
    <t>Extracted energy charges</t>
  </si>
  <si>
    <t>Extracted demand charges</t>
  </si>
  <si>
    <t>Residual / other charges</t>
  </si>
  <si>
    <t>Blended extracted energy-charge rate</t>
  </si>
  <si>
    <t>Recommended Configuration</t>
  </si>
  <si>
    <t>Recommended / Result</t>
  </si>
  <si>
    <t>Recommended scenario</t>
  </si>
  <si>
    <t>PV panels</t>
  </si>
  <si>
    <t>PV DC capacity (kW)</t>
  </si>
  <si>
    <t>Annual modeled PV generation (kWh)</t>
  </si>
  <si>
    <t>Annual generation coverage</t>
  </si>
  <si>
    <t>SPT ~215-kWh sizing units</t>
  </si>
  <si>
    <t>Nominal ESS energy (kWh)</t>
  </si>
  <si>
    <t>ESS power (kW)</t>
  </si>
  <si>
    <t>Interpretation / limitations</t>
  </si>
  <si>
    <t xml:space="preserve">The recommendation is the lowest-cost scenario that satisfies two constraints: (1) annual PV generation &gt;= 709,501 kWh; (2) ESS units meet the average-daily On+Mid-Peak energy requirement. </t>
  </si>
  <si>
    <t>Model Sources &amp; Evidence Register</t>
  </si>
  <si>
    <t>Used For</t>
  </si>
  <si>
    <t>Key Values</t>
  </si>
  <si>
    <t>Citation / File</t>
  </si>
  <si>
    <t>Load, TOU, demand, historical bill charges</t>
  </si>
  <si>
    <t>Verified + one labeled estimate</t>
  </si>
  <si>
    <t>709,501 kWh annual baseline; Meter 1 May TOU estimated</t>
  </si>
  <si>
    <t>Barstow_Historical_Load_TOU_Profile_Completed.xlsx</t>
  </si>
  <si>
    <t>SPT product introduction</t>
  </si>
  <si>
    <t>ESS sizing-unit basis</t>
  </si>
  <si>
    <t>Product source</t>
  </si>
  <si>
    <t>215.04 kWh battery cluster; 0.5C design discharge rate</t>
  </si>
  <si>
    <t>Internal Dataset</t>
  </si>
  <si>
    <t>Model assumptions</t>
  </si>
  <si>
    <t>Tech specifications, policy parameters, calculation metrics</t>
  </si>
  <si>
    <t>Editable assumptions</t>
  </si>
  <si>
    <t>Analysis horizon, Discount rate, Electricity escalation, PV degradation</t>
  </si>
  <si>
    <t>Model Assumptions sheet</t>
  </si>
  <si>
    <t>Grid-Charging Rate Basis</t>
  </si>
  <si>
    <t>Source / Evidence</t>
  </si>
  <si>
    <t>Use</t>
  </si>
  <si>
    <t>Barstow account 8001881589</t>
  </si>
  <si>
    <t>Meter 1 TOU Detail — SCE TOU-GS-2-E historical bill category kWh and energy charges</t>
  </si>
  <si>
    <t>Combined effective low/high TOU energy rates</t>
  </si>
  <si>
    <t>Historical bill source</t>
  </si>
  <si>
    <t>Barstow account 8013693720</t>
  </si>
  <si>
    <t>Meter 2 TOU Detail — SCE TOU-8-D historical bill category kWh and energy charges</t>
  </si>
  <si>
    <t>SCE TOU periods</t>
  </si>
  <si>
    <t>SCE TOU-GS-2 / TOU-8 definitions: summer peak 4–9pm; winter super-off-peak daytime and peak/mid-peak 4–9pm</t>
  </si>
  <si>
    <t>Supports low-price charge / high-price discharge interpretation</t>
  </si>
  <si>
    <t>External tariff context</t>
  </si>
  <si>
    <t>Efficiency</t>
  </si>
  <si>
    <t>Model Specification — 95% discharge efficiency</t>
  </si>
  <si>
    <t>Converts delivered grid discharge to required grid-charge input</t>
  </si>
  <si>
    <t>Product specification</t>
  </si>
  <si>
    <t>Demand-Savings Basis</t>
  </si>
  <si>
    <t>Meter 1 account</t>
  </si>
  <si>
    <t>Meter 1 TOU Detail / SCE TOU-GS-2-E bill history</t>
  </si>
  <si>
    <t>Monthly base + TOU demand $/kW</t>
  </si>
  <si>
    <t>Historical bill-derived</t>
  </si>
  <si>
    <t>Meter 2 account</t>
  </si>
  <si>
    <t>Meter 2 TOU Detail / SCE TOU-8-D bill history</t>
  </si>
  <si>
    <t>SCE tariff structure</t>
  </si>
  <si>
    <t>SCE business TOU guidance: facilities-related demand is based on monthly maximum kW; time-related demand is a separate TOU-period maximum kW charge</t>
  </si>
  <si>
    <t>Interpretation of demand components</t>
  </si>
  <si>
    <t>External tariff verification</t>
  </si>
  <si>
    <t>Physical topology</t>
  </si>
  <si>
    <t>Barstow site survey report: two meters at surveyed Meter 2 building did not match bills on file; bills were for meters in other buildings</t>
  </si>
  <si>
    <t>Prevents unsupported cross-meter aggregation</t>
  </si>
  <si>
    <t>Engineering verified</t>
  </si>
  <si>
    <t>3 PROJECT SUMMARY</t>
  </si>
  <si>
    <t>Payment Options</t>
  </si>
  <si>
    <t>Cash Purchase</t>
  </si>
  <si>
    <t>IRR — Term</t>
  </si>
  <si>
    <t>LCOE PV Generation — screening proxy ($/kWh)</t>
  </si>
  <si>
    <t>Net Present Value @ 5%</t>
  </si>
  <si>
    <t>Payback Period</t>
  </si>
  <si>
    <t>Total Payments</t>
  </si>
  <si>
    <t>Total Modeled Tax Benefits</t>
  </si>
  <si>
    <t>Net Economic Cost After Tax Benefits</t>
  </si>
  <si>
    <t>Electric Bill Savings — 30-Year Term</t>
  </si>
  <si>
    <t>Upfront Payment</t>
  </si>
  <si>
    <t>Year-1 Annual Electricity Savings</t>
  </si>
  <si>
    <t>COMBINED SOLAR PV RATING</t>
  </si>
  <si>
    <t>COMBINED ESS RATINGS</t>
  </si>
  <si>
    <t>Power Rating — DC (kW)</t>
  </si>
  <si>
    <t>Energy Capacity (kWh)</t>
  </si>
  <si>
    <t>Annual Generation (kWh)</t>
  </si>
  <si>
    <t>Estimated AC PCS Rating (kW)</t>
  </si>
  <si>
    <t>PV Panels × Rating</t>
  </si>
  <si>
    <t>838 × 485 W</t>
  </si>
  <si>
    <t>Demand-Shave Target (kW)</t>
  </si>
  <si>
    <t>SCREENING STATUS: PV/load arithmetic is internally consistent. ESS dispatch, demand savings, export compensation, tax timing, and the reconstructed NEW ELECTRIC BILL remain screening-level calculations. The final client-facing proposal should not label these as optimized/final until interval load/dispatch, current tariff/export rules, current equipment quotes, SPT6800 PCS specifications, and current tax eligibility/timing are verified.</t>
  </si>
  <si>
    <t xml:space="preserve">BARSTOW PROJECT OVERVIEW </t>
  </si>
  <si>
    <t>System</t>
  </si>
  <si>
    <t>Status / Basis</t>
  </si>
  <si>
    <t>Solar</t>
  </si>
  <si>
    <t>Reconstructed minimum annual-load-coverage case</t>
  </si>
  <si>
    <t>Installation Type</t>
  </si>
  <si>
    <t>Carport</t>
  </si>
  <si>
    <t>Historical proposal/template basis; field configuration should be re-verified</t>
  </si>
  <si>
    <t>2 × 215.04 kWh sizing units</t>
  </si>
  <si>
    <t>Demand-Shave Target</t>
  </si>
  <si>
    <t>kW operating target</t>
  </si>
  <si>
    <t>Brand / Specification</t>
  </si>
  <si>
    <t># of Units</t>
  </si>
  <si>
    <t>Solar Panel</t>
  </si>
  <si>
    <t>485 W standard module</t>
  </si>
  <si>
    <t>Inverter</t>
  </si>
  <si>
    <t>To be verified</t>
  </si>
  <si>
    <t>—</t>
  </si>
  <si>
    <t>Battery / ESS</t>
  </si>
  <si>
    <t>SPT6800 platform; 215.04 kWh sizing unit</t>
  </si>
  <si>
    <t>Estimated AC PCS</t>
  </si>
  <si>
    <t>100 kW/unit comparable-product benchmark</t>
  </si>
  <si>
    <t>Pricing Detail</t>
  </si>
  <si>
    <t>Solar ($)</t>
  </si>
  <si>
    <t>ESS ($)</t>
  </si>
  <si>
    <t>Solar + ESS ($)</t>
  </si>
  <si>
    <t>System Cost (Selling Price)</t>
  </si>
  <si>
    <t>Federal ITC</t>
  </si>
  <si>
    <t>California Depreciation Tax Benefit</t>
  </si>
  <si>
    <t>Federal MACRS Tax Benefit</t>
  </si>
  <si>
    <t>Simple Payback (years)</t>
  </si>
  <si>
    <t>This page mirrors the historical proposal's project-overview structure using the reconstructed system. Component-level PV cost breakdown from the old 466.6-kW design is intentionally not scaled into the new 406.43-kW case because the source does not establish that each component scales linearly. PV cost uses the historical $2.01/W screening rate; ESS cost uses the historical $600/kWh screening rate. Inverter model and final SPT6800 manufacturer AC PCS rating remain to be verified.</t>
  </si>
  <si>
    <t>BARSTOW PV + ESS PROJECT — RECONSTRUCTED OVERVIEW</t>
  </si>
  <si>
    <t>Project Input / Configuration</t>
  </si>
  <si>
    <t>Financial / Savings</t>
  </si>
  <si>
    <t>Verified Annual Load (kWh)</t>
  </si>
  <si>
    <t>Gross Project Cost</t>
  </si>
  <si>
    <t>PV Capacity (kW-DC)</t>
  </si>
  <si>
    <t>Modeled Incentives</t>
  </si>
  <si>
    <t>Net Project Cost</t>
  </si>
  <si>
    <t>Annual PV Generation (kWh)</t>
  </si>
  <si>
    <t>Year-1 Screening Savings</t>
  </si>
  <si>
    <t>SPT ESS Units</t>
  </si>
  <si>
    <t>IRR</t>
  </si>
  <si>
    <t>ESS Energy (kWh)</t>
  </si>
  <si>
    <t>Net Present Value</t>
  </si>
  <si>
    <t>ESS Power (kW)</t>
  </si>
  <si>
    <t>Payback Period (Years)</t>
  </si>
  <si>
    <t>30-Year Electric Bill Savings</t>
  </si>
  <si>
    <t xml:space="preserve">4.1.1 PV SYSTEM DETAILS </t>
  </si>
  <si>
    <t>GENERAL INFORMATION</t>
  </si>
  <si>
    <t/>
  </si>
  <si>
    <t>SOLAR PV SYSTEM COST AND INCENTIVES</t>
  </si>
  <si>
    <t>ENERGY CONSUMPTION MIX</t>
  </si>
  <si>
    <t>kWh</t>
  </si>
  <si>
    <t>Facility</t>
  </si>
  <si>
    <t>Barstow — two-account analytical baseline</t>
  </si>
  <si>
    <t>Solar PV System Cost</t>
  </si>
  <si>
    <t>Annual Energy Use</t>
  </si>
  <si>
    <t>Verified Annual Energy Use (kWh)</t>
  </si>
  <si>
    <t>Federal ITC — 30%</t>
  </si>
  <si>
    <t>Solar PV + PV-Charged ESS Served Load</t>
  </si>
  <si>
    <t>PV Panel Rating (W)</t>
  </si>
  <si>
    <t>Federal MACRS Tax Benefit — Years 1–6</t>
  </si>
  <si>
    <t>Utility-Supplied Load</t>
  </si>
  <si>
    <t>PV Panel Count</t>
  </si>
  <si>
    <t>State (CA) Depreciation Tax Benefit — Years 1–6</t>
  </si>
  <si>
    <t>PV Power Rating (kW-DC)</t>
  </si>
  <si>
    <t>Net Solar PV System Cost</t>
  </si>
  <si>
    <t>Modeled Annual PV Generation (kWh)</t>
  </si>
  <si>
    <t>Annual PV Coverage</t>
  </si>
  <si>
    <t>Energy Use (kWh)</t>
  </si>
  <si>
    <t>Solar Generation (kWh)</t>
  </si>
  <si>
    <t>Surplus/(Deficit) (kWh)</t>
  </si>
  <si>
    <t xml:space="preserve">4.1.2 ENERGY STORAGE SYSTEM (ESS) DETAILS </t>
  </si>
  <si>
    <t>ESS COST AND INCENTIVES</t>
  </si>
  <si>
    <t>ENERGY STORAGE ANNUAL UTILIZATION</t>
  </si>
  <si>
    <t>Days / billing-cycle-day proxy</t>
  </si>
  <si>
    <t>ESS Platform</t>
  </si>
  <si>
    <t>SPT6800 commercial ESS</t>
  </si>
  <si>
    <t>ESS Cost</t>
  </si>
  <si>
    <t>0–20%</t>
  </si>
  <si>
    <t>Battery Sizing Unit Energy (kWh)</t>
  </si>
  <si>
    <t>20–40%</t>
  </si>
  <si>
    <t>Recommended Units</t>
  </si>
  <si>
    <t>40–60%</t>
  </si>
  <si>
    <t>Nominal ESS Energy (kWh)</t>
  </si>
  <si>
    <t>60–80%</t>
  </si>
  <si>
    <t>AC PCS Rating (kW)</t>
  </si>
  <si>
    <t>Net ESS Cost</t>
  </si>
  <si>
    <t>80–100%</t>
  </si>
  <si>
    <t>Battery-Side Theoretical Power @ 0.5C (kW)</t>
  </si>
  <si>
    <t>&gt;100%</t>
  </si>
  <si>
    <t>Demand-Shave Operating Target (kW)</t>
  </si>
  <si>
    <t>Role</t>
  </si>
  <si>
    <t>TOU energy shifting + peak-demand shaving</t>
  </si>
  <si>
    <t>Energy Output and Demand Savings From Solar PV and Energy Storage</t>
  </si>
  <si>
    <t>Monthly Avg ESS Utilization</t>
  </si>
  <si>
    <t>Billing Days</t>
  </si>
  <si>
    <t>ESS Energy Discharge (kWh)</t>
  </si>
  <si>
    <t>Solar PV Generation (kWh)</t>
  </si>
  <si>
    <t>ESS Energy as % of PV Energy</t>
  </si>
  <si>
    <t>Demand Savings — Screening ($)</t>
  </si>
  <si>
    <t>Grid-Charging Arbitrage Savings ($)</t>
  </si>
  <si>
    <t>Total</t>
  </si>
  <si>
    <t>4.1.3 ITC + MACRS — Original Barstow Schedule Applied to Reconstructed Cost Basis</t>
  </si>
  <si>
    <t>PV Cost Basis ($)</t>
  </si>
  <si>
    <t>ESS Cost Basis ($)</t>
  </si>
  <si>
    <t>Combined Cost ($)</t>
  </si>
  <si>
    <t>Tax / Credit Rate</t>
  </si>
  <si>
    <t>Total Tax Benefit ($)</t>
  </si>
  <si>
    <t>Timing</t>
  </si>
  <si>
    <t>Basis</t>
  </si>
  <si>
    <t>Year 1</t>
  </si>
  <si>
    <t>Original proposal: 30% ITC</t>
  </si>
  <si>
    <t>Federal MACRS depreciation tax shield</t>
  </si>
  <si>
    <t>Years 1–6</t>
  </si>
  <si>
    <t>30% federal income tax rate applied to depreciation deductions</t>
  </si>
  <si>
    <t>California depreciation tax shield</t>
  </si>
  <si>
    <t>8% state income tax rate applied to depreciation deductions</t>
  </si>
  <si>
    <t>Tax Schedule</t>
  </si>
  <si>
    <t>Basis ($)</t>
  </si>
  <si>
    <t>Y1</t>
  </si>
  <si>
    <t>Y2</t>
  </si>
  <si>
    <t>Y3</t>
  </si>
  <si>
    <t>Y4</t>
  </si>
  <si>
    <t>Y5</t>
  </si>
  <si>
    <t>Y6</t>
  </si>
  <si>
    <t>Tax Rate</t>
  </si>
  <si>
    <t>Total Tax Benefit</t>
  </si>
  <si>
    <t>Federal MACRS depreciation % of reduced basis</t>
  </si>
  <si>
    <t>California MACRS depreciation % of full basis</t>
  </si>
  <si>
    <t>Annual Tax Benefit</t>
  </si>
  <si>
    <t>Year 2</t>
  </si>
  <si>
    <t>Year 3</t>
  </si>
  <si>
    <t>Year 4</t>
  </si>
  <si>
    <t>Year 5</t>
  </si>
  <si>
    <t>Year 6</t>
  </si>
  <si>
    <t>Federal MACRS tax shield</t>
  </si>
  <si>
    <t xml:space="preserve">California depreciation uses 20%, 32%, 19.2%, 11.52%, 11.52%, 5.76% over Years 1–6 on full project cost. Federal depreciation first reduces basis by 50% of the 30% ITC (85% basis), then applies 2024 60% bonus depreciation plus MACRS to produce 68%, 12.8%, 7.68%, 4.608%, 4.608%, 2.304% over Years 1–6. Federal tax shield = depreciation deduction × 30%; California tax shield = depreciation deduction × 8%. ITC is recognized in Year 1. </t>
  </si>
  <si>
    <t>4.1.3 REBATES &amp; INCENTIVES — PROJECT AMOUNTS</t>
  </si>
  <si>
    <t>Incentive / Tax Benefit</t>
  </si>
  <si>
    <t>PV ($)</t>
  </si>
  <si>
    <t>Combined ($)</t>
  </si>
  <si>
    <t>Federal MACRS tax benefit</t>
  </si>
  <si>
    <t>California depreciation tax benefit</t>
  </si>
  <si>
    <t>Total modeled tax benefits</t>
  </si>
  <si>
    <t>Per 30-year cash-flow model</t>
  </si>
  <si>
    <t>4.1.5 CURRENT ELECTRIC BILL</t>
  </si>
  <si>
    <t>4.1.5 CURRENT ELECTRIC BILL — Reconstructed Historical Baseline</t>
  </si>
  <si>
    <t>4.1.6 NEW ELECTRIC BILL</t>
  </si>
  <si>
    <t>Load kWh</t>
  </si>
  <si>
    <t>On-Peak</t>
  </si>
  <si>
    <t>Mid-Peak</t>
  </si>
  <si>
    <t>Off-Peak</t>
  </si>
  <si>
    <t>Super-Off</t>
  </si>
  <si>
    <t>Max Demand kW</t>
  </si>
  <si>
    <t>Energy Charges</t>
  </si>
  <si>
    <t>Demand Charges</t>
  </si>
  <si>
    <t>Other/Residual</t>
  </si>
  <si>
    <t>Current Bill</t>
  </si>
  <si>
    <t>PV Gen</t>
  </si>
  <si>
    <t>Load (kWh)</t>
  </si>
  <si>
    <t>PV Generation (kWh)</t>
  </si>
  <si>
    <t>PV Self-Consumed (kWh)</t>
  </si>
  <si>
    <t>PV Export Proxy (kWh)</t>
  </si>
  <si>
    <t>Demand Savings ($)</t>
  </si>
  <si>
    <t>Export Value ($)</t>
  </si>
  <si>
    <t>New Bill ($)</t>
  </si>
  <si>
    <t>Total Savings ($)</t>
  </si>
  <si>
    <t>Grid-Charge Input (kWh)</t>
  </si>
  <si>
    <t>Grid-Charged Discharge (kWh)</t>
  </si>
  <si>
    <t>5 CASH PURCHASE — 30-Year Proposal View</t>
  </si>
  <si>
    <t>Cash Purchase Summary</t>
  </si>
  <si>
    <t>Federal ITC (30% proposal case)</t>
  </si>
  <si>
    <t>Federal Depreciation Tax Benefit</t>
  </si>
  <si>
    <t>Year-1 Operating Savings</t>
  </si>
  <si>
    <t>30-Year Operating Savings</t>
  </si>
  <si>
    <t>NPV @ 5%</t>
  </si>
  <si>
    <t>Year</t>
  </si>
  <si>
    <t>Net Cash Flow ($)</t>
  </si>
  <si>
    <t>Cumulative Cash Flow ($)</t>
  </si>
  <si>
    <t>PV of Net Cash Flow ($)</t>
  </si>
  <si>
    <t>Cumulative PV ($)</t>
  </si>
  <si>
    <t>No-Project Utility Cost ($)</t>
  </si>
  <si>
    <t>With-Project Utility Cost ($)</t>
  </si>
  <si>
    <t>Cumulative Tax Benefits ($)</t>
  </si>
  <si>
    <t>Cash Purchase Cumulative Energy Cost ($)</t>
  </si>
  <si>
    <t>Avoided Utility Cost — Cumulative ($)</t>
  </si>
  <si>
    <t>Tax timing follows the original Barstow proposal: ITC in Year 1; federal MACRS and California depreciation tax shields in Years 1–6. The cumulative-cost chart compares the no-project cumulative utility spend against gross project purchase + cumulative with-project utility bills − cumulative modeled tax benefits. Operating savings remain based on the audited NEW ELECTRIC BILL / ESS savings model.</t>
  </si>
  <si>
    <t>6.1 DETAILED CASH FLOW ANALYSIS — 30-Year Cash Purchase</t>
  </si>
  <si>
    <t>Gross Project Purchase ($)</t>
  </si>
  <si>
    <t>ITC + MACRS Tax Benefits ($)</t>
  </si>
  <si>
    <t>Export Credit ($)</t>
  </si>
  <si>
    <t>Grid Arbitrage Savings ($)</t>
  </si>
  <si>
    <t>Demand-Charge Savings ($)</t>
  </si>
  <si>
    <t>Total Operating Savings ($)</t>
  </si>
  <si>
    <t>Discount Factor</t>
  </si>
  <si>
    <t>No-Project Utility Bill ($)</t>
  </si>
  <si>
    <t>With-Project Utility Bill ($)</t>
  </si>
  <si>
    <t>Cumulative No-Project Cost ($)</t>
  </si>
  <si>
    <t>Cumulative Cash-Purchase Cost ($)</t>
  </si>
  <si>
    <t>30-Year Financial Metrics</t>
  </si>
  <si>
    <t>Method / Interpretation</t>
  </si>
  <si>
    <t>$</t>
  </si>
  <si>
    <t>Year-0 cash purchase</t>
  </si>
  <si>
    <t>Modeled Year-1 ITC + MACRS Benefits</t>
  </si>
  <si>
    <t>Proposal-template tax case</t>
  </si>
  <si>
    <t>PV + export + grid arbitrage + demand savings</t>
  </si>
  <si>
    <t>NPV of all project cash flows including Year-0 cost and Year-1 tax benefits</t>
  </si>
  <si>
    <t>%</t>
  </si>
  <si>
    <t>Annual project IRR on modeled cash flows</t>
  </si>
  <si>
    <t>Simple Payback</t>
  </si>
  <si>
    <t>Interpolated first year cumulative cash flow becomes non-negative</t>
  </si>
  <si>
    <t>Discounted Payback</t>
  </si>
  <si>
    <t>Interpolated first year cumulative discounted cash flow becomes non-negative</t>
  </si>
  <si>
    <t>PROPOSAL CONTENT CHECKLIST</t>
  </si>
  <si>
    <t>Requested item</t>
  </si>
  <si>
    <t>Sheet</t>
  </si>
  <si>
    <t>Range / chart area</t>
  </si>
  <si>
    <t>Solar PV System Cost and Incentives</t>
  </si>
  <si>
    <t>PV Proposal</t>
  </si>
  <si>
    <t>D3:E9</t>
  </si>
  <si>
    <t>Included</t>
  </si>
  <si>
    <t>ENERGY CONSUMPTION MIX — pie chart</t>
  </si>
  <si>
    <t>G3:J20</t>
  </si>
  <si>
    <t>MONTHLY ENERGY USE VS SOLAR GENERATION — line chart</t>
  </si>
  <si>
    <t>F22:N38</t>
  </si>
  <si>
    <t>MONTHLY ENERGY USE VS SOLAR GENERATION — bar chart</t>
  </si>
  <si>
    <t>A28:E44</t>
  </si>
  <si>
    <t>ESS Cost and Incentives</t>
  </si>
  <si>
    <t>ESS Proposal</t>
  </si>
  <si>
    <t>ENERGY STORAGE ANNUAL UTILIZATION — bar chart</t>
  </si>
  <si>
    <t>G3:L25</t>
  </si>
  <si>
    <t>A13:E26</t>
  </si>
  <si>
    <t>4.1.3 REBATES &amp; INCENTIVES</t>
  </si>
  <si>
    <t>Rebates Incentives</t>
  </si>
  <si>
    <t>A1:F17</t>
  </si>
  <si>
    <t>CURRENT ELECTRIC BILL — standalone table</t>
  </si>
  <si>
    <t>Electric Bills</t>
  </si>
  <si>
    <t>A3:K16</t>
  </si>
  <si>
    <t>Included / separated</t>
  </si>
  <si>
    <t>NEW ELECTRIC BILL — standalone table</t>
  </si>
  <si>
    <t>P3:Z16</t>
  </si>
  <si>
    <t>Cash Purchase — vertical table</t>
  </si>
  <si>
    <t>A3:B13</t>
  </si>
  <si>
    <t>Cash Purchase — horizontal table</t>
  </si>
  <si>
    <t>D3:J8</t>
  </si>
  <si>
    <t>3 PROJECT SUMMARY table</t>
  </si>
  <si>
    <t>Proposal Summary</t>
  </si>
  <si>
    <t>A1:E13</t>
  </si>
  <si>
    <t>CUMULATIVE ENERGY COSTS BY PAYMENT OPTION chart</t>
  </si>
  <si>
    <t>D12:L29</t>
  </si>
  <si>
    <t>Included / corrected</t>
  </si>
  <si>
    <t>Page 3 project overview table</t>
  </si>
  <si>
    <t>Proposal Dashboard</t>
  </si>
  <si>
    <t>A1:D10</t>
  </si>
  <si>
    <t>PV + ESS MONTHLY DISPATCH</t>
  </si>
  <si>
    <t>PV Gen kWh</t>
  </si>
  <si>
    <t>PV Self-Consumed Before ESS</t>
  </si>
  <si>
    <t>PV Surplus Before ESS</t>
  </si>
  <si>
    <t>Peak-Window Load kWh</t>
  </si>
  <si>
    <t>ESS Delivered Capacity / Day</t>
  </si>
  <si>
    <t>PV-Surplus-Charged ESS Discharge</t>
  </si>
  <si>
    <t>Grid-Charged ESS Discharge</t>
  </si>
  <si>
    <t>Total ESS Discharge</t>
  </si>
  <si>
    <t>ESS Discharge / PV Gen</t>
  </si>
  <si>
    <t>Historical Max Demand kW</t>
  </si>
  <si>
    <t>Target Shave kW</t>
  </si>
  <si>
    <t>Demand Savings $</t>
  </si>
  <si>
    <t>PV Energy Savings $</t>
  </si>
  <si>
    <t>Export Value $</t>
  </si>
  <si>
    <t>Grid Charge Input (kWh)</t>
  </si>
  <si>
    <t>Low-Price Charge Rate ($/kWh)</t>
  </si>
  <si>
    <t>High-Price Avoided Rate ($/kWh)</t>
  </si>
  <si>
    <t>Grid Charging Cost ($)</t>
  </si>
  <si>
    <t>Avoided Peak Energy Cost ($)</t>
  </si>
  <si>
    <t>Net Grid-Charging Arbitrage Savings ($)</t>
  </si>
  <si>
    <t>Jan</t>
  </si>
  <si>
    <t>Feb</t>
  </si>
  <si>
    <t>Mar</t>
  </si>
  <si>
    <t>Apr</t>
  </si>
  <si>
    <t>May</t>
  </si>
  <si>
    <t>Jun</t>
  </si>
  <si>
    <t>Jul</t>
  </si>
  <si>
    <t>Aug</t>
  </si>
  <si>
    <t>Sep</t>
  </si>
  <si>
    <t>Oct</t>
  </si>
  <si>
    <t>Nov</t>
  </si>
  <si>
    <t>Dec</t>
  </si>
  <si>
    <t>Grid-charging estimate: for months where PV surplus is insufficient, the model charges the ESS in the lowest-price historical TOU bucket and discharges into the highest-price energy bucket. Summer uses Off-Peak → On-Peak; winter uses Super-Off-Peak → Mid-Peak. Rates are reconstructed directly from the two Barstow utility-account bill details as combined effective $/kWh = category energy charge / category kWh. Grid-charge input kWh = delivered grid-charged discharge / 95% screening discharge efficiency. Net arbitrage savings = avoided high-price energy cost − low-price charging cost. This is a billing-data-based estimate, not an interval dispatch simulation; it assumes the battery can schedule the identified energy into those TOU windows. Demand-charge savings are calculated separately and are not included in the arbitrage value.</t>
  </si>
  <si>
    <t>ESS DEMAND-CHARGE SAVINGS — ACCOUNT-SPECIFIC</t>
  </si>
  <si>
    <t>Meter 1 Max kW</t>
  </si>
  <si>
    <t>Meter 1 Base Demand $</t>
  </si>
  <si>
    <t>Meter 1 Base $/kW</t>
  </si>
  <si>
    <t>Meter 1 TOU Demand kW</t>
  </si>
  <si>
    <t>Meter 1 TOU Demand $</t>
  </si>
  <si>
    <t>Meter 1 TOU $/kW</t>
  </si>
  <si>
    <t>Meter 2 Max kW</t>
  </si>
  <si>
    <t>Meter 2 Base Demand $</t>
  </si>
  <si>
    <t>Meter 2 Base $/kW</t>
  </si>
  <si>
    <t>Meter 2 TOU Demand kW</t>
  </si>
  <si>
    <t>Meter 2 TOU Demand $</t>
  </si>
  <si>
    <t>Meter 2 TOU $/kW</t>
  </si>
  <si>
    <t xml:space="preserve"> ESS Target kW</t>
  </si>
  <si>
    <t>Meter 2 Base Savings $</t>
  </si>
  <si>
    <t>Meter 2 TOU Savings $</t>
  </si>
  <si>
    <t>Meter 2 Total Demand Savings $</t>
  </si>
  <si>
    <t>Annual / Max</t>
  </si>
  <si>
    <t>Demand-Shave Design Basis</t>
  </si>
  <si>
    <t>Interpretation</t>
  </si>
  <si>
    <t>Annual Base Demand Savings</t>
  </si>
  <si>
    <t>Annual TOU Demand Savings</t>
  </si>
  <si>
    <t>Annual Total Demand Savings</t>
  </si>
  <si>
    <t>Comment</t>
  </si>
  <si>
    <t>Proposal target</t>
  </si>
  <si>
    <t>kW</t>
  </si>
  <si>
    <t>Fixed target applied to Meter 2 account</t>
  </si>
  <si>
    <t>Recommended base</t>
  </si>
  <si>
    <t>Fixed demand-shave target for proposal modeling.</t>
  </si>
  <si>
    <t>Conservative</t>
  </si>
  <si>
    <t>Low-risk screening case</t>
  </si>
  <si>
    <t>Battery-side screening power</t>
  </si>
  <si>
    <t>2 × 215.04 kWh × 0.5C</t>
  </si>
  <si>
    <t>Derived from product specs</t>
  </si>
  <si>
    <t>Upper battery-side power basis only.</t>
  </si>
  <si>
    <t>Recommended Base</t>
  </si>
  <si>
    <t xml:space="preserve">Use in proposal </t>
  </si>
  <si>
    <t>Delivered ESS energy</t>
  </si>
  <si>
    <t>kWh/day-cycle</t>
  </si>
  <si>
    <t>430.08 × 90% × 95%</t>
  </si>
  <si>
    <t>Derived from assumptions</t>
  </si>
  <si>
    <t>Energy available for dispatch</t>
  </si>
  <si>
    <t>3-hour energy-backed</t>
  </si>
  <si>
    <t>Derived from delivered ESS energy / 3 h</t>
  </si>
  <si>
    <t>1-hour energy-backed shave</t>
  </si>
  <si>
    <t>min(power, delivered kWh / 1h)</t>
  </si>
  <si>
    <t>Derived</t>
  </si>
  <si>
    <t>Power-limited.</t>
  </si>
  <si>
    <t>2-hour energy-backed</t>
  </si>
  <si>
    <t>Derived from delivered ESS energy / 2 h</t>
  </si>
  <si>
    <t>2-hour energy-backed shave</t>
  </si>
  <si>
    <t>min(power, delivered kWh / 2h)</t>
  </si>
  <si>
    <t>183.86 kW.</t>
  </si>
  <si>
    <t>Battery-side power upper bound</t>
  </si>
  <si>
    <t>Theoretical screening upper bound; not verified AC PCS output</t>
  </si>
  <si>
    <t>3-hour energy-backed shave</t>
  </si>
  <si>
    <t>min(power, delivered kWh / 3h)</t>
  </si>
  <si>
    <t>122.57 kW.</t>
  </si>
  <si>
    <t>Account / Configuration</t>
  </si>
  <si>
    <t>ESS Power Allocation</t>
  </si>
  <si>
    <t>Annual Base Savings</t>
  </si>
  <si>
    <t>Annual TOU Savings</t>
  </si>
  <si>
    <t>Annual Total</t>
  </si>
  <si>
    <t>Meter 2 only — modeling basis</t>
  </si>
  <si>
    <t>Economically dominant account; proposal basis</t>
  </si>
  <si>
    <t>Meter 2 only — 100 kW target</t>
  </si>
  <si>
    <t>Power exceeds account monthly demand; theoretical bill-derived ceiling is much lower than Meter 2.</t>
  </si>
  <si>
    <t>One 107.52-kW battery-side unit per account</t>
  </si>
  <si>
    <t>Illustrative only; requires separate/compatible interconnection behind each meter.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</si>
</sst>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26">
    <numFmt numFmtId="6" formatCode="&quot;$&quot;#,##0_);[Red]\(&quot;$&quot;#,##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quot;$&quot;#,##0.00;[Red]\(&quot;$&quot;#,##0.00\);\-"/>
    <numFmt numFmtId="179" formatCode="0.0%"/>
    <numFmt numFmtId="180" formatCode="&quot;$&quot;#,##0;[Red]\(&quot;$&quot;#,##0\);\-"/>
    <numFmt numFmtId="181" formatCode="&quot;$&quot;0.0000"/>
    <numFmt numFmtId="182" formatCode="0.0"/>
    <numFmt numFmtId="183" formatCode="0.000"/>
    <numFmt numFmtId="184" formatCode="#,##0;[Red]\(#,##0\);\-"/>
    <numFmt numFmtId="185" formatCode="0.000%"/>
    <numFmt numFmtId="186" formatCode="0_ "/>
    <numFmt numFmtId="187" formatCode="0.0_);[Red]\(0.0\)"/>
    <numFmt numFmtId="188" formatCode="0.00\ &quot;kW-DC&quot;"/>
    <numFmt numFmtId="189" formatCode="0.00\ &quot;kWh&quot;"/>
    <numFmt numFmtId="190" formatCode="0\ &quot;kW&quot;"/>
    <numFmt numFmtId="191" formatCode="0.0\ &quot;Years&quot;"/>
    <numFmt numFmtId="192" formatCode="#,##0.00;[Red]\(#,##0.00\);\-"/>
    <numFmt numFmtId="193" formatCode="0.0%;[Red]\(0.0%\);\-"/>
    <numFmt numFmtId="194" formatCode="&quot;$&quot;0.0000;[Red]\(&quot;$&quot;0.0000\);\-"/>
    <numFmt numFmtId="195" formatCode="0.0;[Red]\(0.0\);\-"/>
    <numFmt numFmtId="196" formatCode="0.00;[Red]\(0.00\);\-"/>
    <numFmt numFmtId="197" formatCode="0.00_);[Red]\(0.00\)"/>
    <numFmt numFmtId="198" formatCode="&quot;$&quot;#,##0.00"/>
  </numFmts>
  <fonts count="31">
    <font>
      <sz val="11"/>
      <name val="Carlito"/>
      <charset val="134"/>
    </font>
    <font>
      <b/>
      <sz val="16"/>
      <color rgb="FFFFFFFF"/>
      <name val="Carlito"/>
      <charset val="134"/>
    </font>
    <font>
      <b/>
      <sz val="11"/>
      <color rgb="FFFFFFFF"/>
      <name val="Carlito"/>
      <charset val="134"/>
    </font>
    <font>
      <b/>
      <sz val="11"/>
      <name val="Carlito"/>
      <charset val="134"/>
    </font>
    <font>
      <i/>
      <sz val="11"/>
      <name val="Carlito"/>
      <charset val="134"/>
    </font>
    <font>
      <b/>
      <sz val="15"/>
      <color rgb="FFFFFFFF"/>
      <name val="Carlito"/>
      <charset val="134"/>
    </font>
    <font>
      <b/>
      <i/>
      <sz val="11"/>
      <color rgb="FFFFFFFF"/>
      <name val="Carlito"/>
      <charset val="134"/>
    </font>
    <font>
      <b/>
      <i/>
      <sz val="11"/>
      <name val="Carlito"/>
      <charset val="134"/>
    </font>
    <font>
      <b/>
      <sz val="14"/>
      <color rgb="FFFFFFFF"/>
      <name val="Carlito"/>
      <charset val="134"/>
    </font>
    <font>
      <sz val="11"/>
      <color rgb="FF0000FF"/>
      <name val="Carlito"/>
      <charset val="134"/>
    </font>
    <font>
      <sz val="11"/>
      <color rgb="FF000000"/>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rgb="FF17365D"/>
        <bgColor indexed="64"/>
      </patternFill>
    </fill>
    <fill>
      <patternFill patternType="solid">
        <fgColor rgb="FF1F4E78"/>
        <bgColor indexed="64"/>
      </patternFill>
    </fill>
    <fill>
      <patternFill patternType="solid">
        <fgColor rgb="FF548235"/>
        <bgColor indexed="64"/>
      </patternFill>
    </fill>
    <fill>
      <patternFill patternType="solid">
        <fgColor rgb="FFC65911"/>
        <bgColor indexed="64"/>
      </patternFill>
    </fill>
    <fill>
      <patternFill patternType="solid">
        <fgColor rgb="FFD9EAD3"/>
        <bgColor indexed="64"/>
      </patternFill>
    </fill>
    <fill>
      <patternFill patternType="solid">
        <fgColor rgb="FFFFF2CC"/>
        <bgColor indexed="64"/>
      </patternFill>
    </fill>
    <fill>
      <patternFill patternType="solid">
        <fgColor rgb="FF5B9BD5"/>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D9D9D9"/>
      </left>
      <right/>
      <top style="thin">
        <color rgb="FFD9D9D9"/>
      </top>
      <bottom/>
      <diagonal/>
    </border>
    <border>
      <left/>
      <right/>
      <top style="thin">
        <color rgb="FFD9D9D9"/>
      </top>
      <bottom/>
      <diagonal/>
    </border>
    <border>
      <left style="thin">
        <color rgb="FFD9D9D9"/>
      </left>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style="thin">
        <color rgb="FFD9D9D9"/>
      </top>
      <bottom/>
      <diagonal/>
    </border>
    <border>
      <left/>
      <right style="thin">
        <color rgb="FFD9D9D9"/>
      </right>
      <top/>
      <bottom/>
      <diagonal/>
    </border>
    <border>
      <left/>
      <right style="thin">
        <color rgb="FFD9D9D9"/>
      </right>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177"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10" borderId="9"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19" fillId="0" borderId="0" applyNumberFormat="0" applyFill="0" applyBorder="0" applyAlignment="0" applyProtection="0">
      <alignment vertical="center"/>
    </xf>
    <xf numFmtId="0" fontId="20" fillId="11" borderId="12" applyNumberFormat="0" applyAlignment="0" applyProtection="0">
      <alignment vertical="center"/>
    </xf>
    <xf numFmtId="0" fontId="21" fillId="12" borderId="13" applyNumberFormat="0" applyAlignment="0" applyProtection="0">
      <alignment vertical="center"/>
    </xf>
    <xf numFmtId="0" fontId="22" fillId="12" borderId="12" applyNumberFormat="0" applyAlignment="0" applyProtection="0">
      <alignment vertical="center"/>
    </xf>
    <xf numFmtId="0" fontId="23" fillId="13" borderId="14" applyNumberFormat="0" applyAlignment="0" applyProtection="0">
      <alignment vertical="center"/>
    </xf>
    <xf numFmtId="0" fontId="24" fillId="0" borderId="15" applyNumberFormat="0" applyFill="0" applyAlignment="0" applyProtection="0">
      <alignment vertical="center"/>
    </xf>
    <xf numFmtId="0" fontId="25" fillId="0" borderId="16" applyNumberFormat="0" applyFill="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30" fillId="38" borderId="0" applyNumberFormat="0" applyBorder="0" applyAlignment="0" applyProtection="0">
      <alignment vertical="center"/>
    </xf>
    <xf numFmtId="0" fontId="30" fillId="39" borderId="0" applyNumberFormat="0" applyBorder="0" applyAlignment="0" applyProtection="0">
      <alignment vertical="center"/>
    </xf>
    <xf numFmtId="0" fontId="29" fillId="40" borderId="0" applyNumberFormat="0" applyBorder="0" applyAlignment="0" applyProtection="0">
      <alignment vertical="center"/>
    </xf>
  </cellStyleXfs>
  <cellXfs count="132">
    <xf numFmtId="0" fontId="0" fillId="0" borderId="0" xfId="0"/>
    <xf numFmtId="0" fontId="0" fillId="0" borderId="0" xfId="0" applyFill="1"/>
    <xf numFmtId="0" fontId="1" fillId="2" borderId="0" xfId="0" applyNumberFormat="1" applyFont="1" applyFill="1" applyBorder="1" applyAlignment="1">
      <alignment horizontal="center" wrapText="1"/>
    </xf>
    <xf numFmtId="0" fontId="0" fillId="0" borderId="0" xfId="0" applyNumberFormat="1" applyFont="1" applyFill="1" applyBorder="1" applyAlignment="1">
      <alignment wrapText="1"/>
    </xf>
    <xf numFmtId="0" fontId="2" fillId="3" borderId="0" xfId="0" applyNumberFormat="1" applyFont="1" applyFill="1" applyBorder="1" applyAlignment="1">
      <alignment horizontal="center" wrapText="1"/>
    </xf>
    <xf numFmtId="178" fontId="0" fillId="0" borderId="0" xfId="0" applyNumberFormat="1" applyFont="1" applyFill="1" applyBorder="1" applyAlignment="1">
      <alignment wrapText="1"/>
    </xf>
    <xf numFmtId="0" fontId="2" fillId="4" borderId="0" xfId="0" applyNumberFormat="1" applyFont="1" applyFill="1" applyBorder="1" applyAlignment="1">
      <alignment wrapText="1"/>
    </xf>
    <xf numFmtId="0" fontId="0" fillId="0" borderId="0" xfId="0" applyNumberFormat="1" applyFont="1" applyFill="1" applyBorder="1" applyAlignment="1">
      <alignment wrapText="1"/>
    </xf>
    <xf numFmtId="0" fontId="3" fillId="0" borderId="0" xfId="0" applyNumberFormat="1" applyFont="1" applyFill="1" applyBorder="1" applyAlignment="1">
      <alignment vertical="top" wrapText="1"/>
    </xf>
    <xf numFmtId="0" fontId="2" fillId="5" borderId="0" xfId="0" applyNumberFormat="1" applyFont="1" applyFill="1" applyBorder="1" applyAlignment="1">
      <alignment wrapText="1"/>
    </xf>
    <xf numFmtId="0" fontId="3" fillId="6" borderId="0" xfId="0" applyNumberFormat="1" applyFont="1" applyFill="1" applyBorder="1" applyAlignment="1">
      <alignment wrapText="1"/>
    </xf>
    <xf numFmtId="0" fontId="4" fillId="7" borderId="0" xfId="0" applyNumberFormat="1" applyFont="1" applyFill="1" applyBorder="1" applyAlignment="1">
      <alignment vertical="top" wrapText="1"/>
    </xf>
    <xf numFmtId="179" fontId="0" fillId="0" borderId="0" xfId="0" applyNumberFormat="1" applyFont="1" applyFill="1" applyBorder="1" applyAlignment="1">
      <alignment wrapText="1"/>
    </xf>
    <xf numFmtId="179" fontId="3" fillId="6" borderId="0" xfId="0" applyNumberFormat="1" applyFont="1" applyFill="1" applyBorder="1" applyAlignment="1">
      <alignment wrapText="1"/>
    </xf>
    <xf numFmtId="180" fontId="0" fillId="0" borderId="0" xfId="0" applyNumberFormat="1" applyFont="1" applyFill="1" applyBorder="1" applyAlignment="1">
      <alignment wrapText="1"/>
    </xf>
    <xf numFmtId="180" fontId="3" fillId="6" borderId="0" xfId="0" applyNumberFormat="1" applyFont="1" applyFill="1" applyBorder="1" applyAlignment="1">
      <alignment wrapText="1"/>
    </xf>
    <xf numFmtId="181" fontId="0" fillId="0" borderId="0" xfId="0" applyNumberFormat="1" applyFont="1" applyFill="1" applyBorder="1"/>
    <xf numFmtId="180" fontId="0" fillId="0" borderId="0" xfId="0" applyNumberFormat="1" applyFont="1" applyFill="1" applyBorder="1"/>
    <xf numFmtId="0" fontId="2" fillId="3" borderId="0" xfId="0" applyNumberFormat="1" applyFont="1" applyFill="1" applyBorder="1" applyAlignment="1">
      <alignment wrapText="1"/>
    </xf>
    <xf numFmtId="0" fontId="5" fillId="2" borderId="0" xfId="0" applyNumberFormat="1" applyFont="1" applyFill="1" applyBorder="1" applyAlignment="1">
      <alignment horizontal="center" wrapText="1"/>
    </xf>
    <xf numFmtId="1" fontId="0" fillId="0" borderId="0" xfId="0" applyNumberFormat="1" applyFont="1" applyFill="1" applyBorder="1" applyAlignment="1">
      <alignment wrapText="1"/>
    </xf>
    <xf numFmtId="182" fontId="0" fillId="0" borderId="0" xfId="0" applyNumberFormat="1" applyFont="1" applyFill="1" applyBorder="1" applyAlignment="1">
      <alignment wrapText="1"/>
    </xf>
    <xf numFmtId="183" fontId="0" fillId="0" borderId="0" xfId="0" applyNumberFormat="1" applyFont="1" applyFill="1" applyBorder="1" applyAlignment="1">
      <alignment wrapText="1"/>
    </xf>
    <xf numFmtId="0" fontId="0" fillId="7" borderId="0" xfId="0" applyNumberFormat="1" applyFont="1" applyFill="1" applyBorder="1" applyAlignment="1">
      <alignment vertical="top" wrapText="1"/>
    </xf>
    <xf numFmtId="180" fontId="0" fillId="7" borderId="0" xfId="0" applyNumberFormat="1" applyFont="1" applyFill="1" applyBorder="1" applyAlignment="1">
      <alignment vertical="top" wrapText="1"/>
    </xf>
    <xf numFmtId="0" fontId="2" fillId="3" borderId="0" xfId="0" applyNumberFormat="1" applyFont="1" applyFill="1" applyBorder="1" applyAlignment="1">
      <alignment horizontal="center"/>
    </xf>
    <xf numFmtId="184" fontId="0" fillId="0" borderId="0" xfId="0" applyNumberFormat="1" applyFont="1" applyFill="1" applyBorder="1" applyAlignment="1">
      <alignment wrapText="1"/>
    </xf>
    <xf numFmtId="184" fontId="3" fillId="6" borderId="0" xfId="0" applyNumberFormat="1" applyFont="1" applyFill="1" applyBorder="1" applyAlignment="1">
      <alignment wrapText="1"/>
    </xf>
    <xf numFmtId="184" fontId="0" fillId="0" borderId="0" xfId="0" applyNumberFormat="1" applyFont="1" applyFill="1" applyBorder="1"/>
    <xf numFmtId="180" fontId="2" fillId="4" borderId="0" xfId="0" applyNumberFormat="1" applyFont="1" applyFill="1" applyBorder="1" applyAlignment="1">
      <alignment wrapText="1"/>
    </xf>
    <xf numFmtId="185"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180" fontId="0" fillId="0" borderId="0" xfId="0" applyNumberFormat="1" applyFont="1" applyFill="1" applyBorder="1" applyAlignment="1">
      <alignment vertical="top" wrapText="1"/>
    </xf>
    <xf numFmtId="185" fontId="0" fillId="0" borderId="0" xfId="0" applyNumberFormat="1" applyFont="1" applyFill="1" applyBorder="1" applyAlignment="1">
      <alignment vertical="top" wrapText="1"/>
    </xf>
    <xf numFmtId="0" fontId="4" fillId="0" borderId="0" xfId="0" applyNumberFormat="1" applyFont="1" applyFill="1" applyBorder="1" applyAlignment="1">
      <alignment vertical="top" wrapText="1"/>
    </xf>
    <xf numFmtId="0" fontId="6" fillId="0" borderId="0" xfId="0" applyNumberFormat="1" applyFont="1" applyFill="1" applyBorder="1" applyAlignment="1">
      <alignment vertical="top" wrapText="1"/>
    </xf>
    <xf numFmtId="0" fontId="4" fillId="0" borderId="0" xfId="0" applyNumberFormat="1" applyFont="1" applyFill="1" applyBorder="1" applyAlignment="1">
      <alignment wrapText="1"/>
    </xf>
    <xf numFmtId="180" fontId="4" fillId="0" borderId="0" xfId="0" applyNumberFormat="1" applyFont="1" applyFill="1" applyBorder="1" applyAlignment="1">
      <alignment wrapText="1"/>
    </xf>
    <xf numFmtId="0" fontId="7" fillId="0" borderId="0" xfId="0" applyNumberFormat="1" applyFont="1" applyFill="1" applyBorder="1" applyAlignment="1">
      <alignment wrapText="1"/>
    </xf>
    <xf numFmtId="180" fontId="7" fillId="0" borderId="0" xfId="0" applyNumberFormat="1" applyFont="1" applyFill="1" applyBorder="1" applyAlignment="1">
      <alignment wrapText="1"/>
    </xf>
    <xf numFmtId="0" fontId="8" fillId="2" borderId="0" xfId="0" applyNumberFormat="1" applyFont="1" applyFill="1" applyBorder="1" applyAlignment="1">
      <alignment wrapText="1"/>
    </xf>
    <xf numFmtId="10" fontId="0" fillId="0" borderId="0" xfId="0" applyNumberFormat="1" applyFont="1" applyFill="1" applyBorder="1" applyAlignment="1">
      <alignment wrapText="1"/>
    </xf>
    <xf numFmtId="0" fontId="2" fillId="0" borderId="0" xfId="0" applyNumberFormat="1" applyFont="1" applyFill="1" applyBorder="1" applyAlignment="1">
      <alignment vertical="top" wrapText="1"/>
    </xf>
    <xf numFmtId="0" fontId="2" fillId="2" borderId="0" xfId="0" applyNumberFormat="1" applyFont="1" applyFill="1" applyBorder="1" applyAlignment="1">
      <alignment horizontal="center" wrapText="1"/>
    </xf>
    <xf numFmtId="0" fontId="2" fillId="2" borderId="0" xfId="0" applyNumberFormat="1" applyFont="1" applyFill="1" applyBorder="1" applyAlignment="1">
      <alignment wrapText="1"/>
    </xf>
    <xf numFmtId="186" fontId="0" fillId="0" borderId="0" xfId="0" applyNumberFormat="1" applyFont="1" applyFill="1" applyBorder="1" applyAlignment="1">
      <alignment wrapText="1"/>
    </xf>
    <xf numFmtId="187" fontId="0" fillId="0" borderId="0" xfId="0" applyNumberFormat="1" applyFont="1" applyFill="1" applyBorder="1" applyAlignment="1">
      <alignment wrapText="1"/>
    </xf>
    <xf numFmtId="6" fontId="0" fillId="0" borderId="0" xfId="0" applyNumberFormat="1"/>
    <xf numFmtId="188" fontId="0" fillId="0" borderId="0" xfId="0" applyNumberFormat="1" applyFont="1" applyFill="1" applyBorder="1" applyAlignment="1">
      <alignment wrapText="1"/>
    </xf>
    <xf numFmtId="189" fontId="0" fillId="0" borderId="0" xfId="0" applyNumberFormat="1" applyFont="1" applyFill="1" applyBorder="1" applyAlignment="1">
      <alignment wrapText="1"/>
    </xf>
    <xf numFmtId="190" fontId="0" fillId="0" borderId="0" xfId="0" applyNumberFormat="1" applyFont="1" applyFill="1" applyBorder="1" applyAlignment="1">
      <alignment wrapText="1"/>
    </xf>
    <xf numFmtId="191" fontId="0" fillId="0" borderId="0" xfId="0" applyNumberFormat="1" applyFont="1" applyFill="1" applyBorder="1" applyAlignment="1">
      <alignment wrapText="1"/>
    </xf>
    <xf numFmtId="0" fontId="3" fillId="7" borderId="0" xfId="0" applyNumberFormat="1" applyFont="1" applyFill="1" applyBorder="1" applyAlignment="1">
      <alignment wrapText="1"/>
    </xf>
    <xf numFmtId="0" fontId="2" fillId="3" borderId="1" xfId="0" applyNumberFormat="1" applyFont="1" applyFill="1" applyBorder="1" applyAlignment="1">
      <alignment wrapText="1"/>
    </xf>
    <xf numFmtId="0" fontId="2" fillId="3" borderId="2" xfId="0" applyNumberFormat="1" applyFont="1" applyFill="1" applyBorder="1" applyAlignment="1">
      <alignment wrapText="1"/>
    </xf>
    <xf numFmtId="0" fontId="0" fillId="0" borderId="3" xfId="0" applyNumberFormat="1" applyFont="1" applyFill="1" applyBorder="1" applyAlignment="1">
      <alignment wrapText="1"/>
    </xf>
    <xf numFmtId="0" fontId="0" fillId="0" borderId="0" xfId="0" applyNumberFormat="1" applyFont="1" applyFill="1" applyAlignment="1">
      <alignment wrapText="1"/>
    </xf>
    <xf numFmtId="0" fontId="0" fillId="0" borderId="4" xfId="0" applyNumberFormat="1" applyFont="1" applyFill="1" applyBorder="1" applyAlignment="1">
      <alignment wrapText="1"/>
    </xf>
    <xf numFmtId="0" fontId="0" fillId="0" borderId="5" xfId="0" applyNumberFormat="1" applyFont="1" applyFill="1" applyBorder="1" applyAlignment="1">
      <alignment wrapText="1"/>
    </xf>
    <xf numFmtId="0" fontId="2" fillId="3" borderId="6" xfId="0" applyNumberFormat="1" applyFont="1" applyFill="1" applyBorder="1" applyAlignment="1">
      <alignment wrapText="1"/>
    </xf>
    <xf numFmtId="0" fontId="0" fillId="0" borderId="7" xfId="0" applyNumberFormat="1" applyFont="1" applyFill="1" applyBorder="1" applyAlignment="1">
      <alignment wrapText="1"/>
    </xf>
    <xf numFmtId="0" fontId="0" fillId="0" borderId="8" xfId="0" applyNumberFormat="1" applyFont="1" applyFill="1" applyBorder="1" applyAlignment="1">
      <alignment wrapText="1"/>
    </xf>
    <xf numFmtId="0" fontId="1" fillId="2" borderId="0" xfId="0" applyNumberFormat="1" applyFont="1" applyFill="1" applyBorder="1" applyAlignment="1">
      <alignment horizontal="center"/>
    </xf>
    <xf numFmtId="0" fontId="2" fillId="3" borderId="1" xfId="0" applyNumberFormat="1" applyFont="1" applyFill="1" applyBorder="1"/>
    <xf numFmtId="0" fontId="2" fillId="3" borderId="6" xfId="0" applyNumberFormat="1" applyFont="1" applyFill="1" applyBorder="1"/>
    <xf numFmtId="0" fontId="0" fillId="0" borderId="3" xfId="0" applyNumberFormat="1" applyFont="1" applyFill="1" applyBorder="1"/>
    <xf numFmtId="0" fontId="0" fillId="0" borderId="7" xfId="0" applyNumberFormat="1" applyFont="1" applyFill="1" applyBorder="1"/>
    <xf numFmtId="192" fontId="0" fillId="0" borderId="7" xfId="0" applyNumberFormat="1" applyFont="1" applyFill="1" applyBorder="1"/>
    <xf numFmtId="193" fontId="0" fillId="0" borderId="7" xfId="0" applyNumberFormat="1" applyFont="1" applyFill="1" applyBorder="1"/>
    <xf numFmtId="0" fontId="0" fillId="0" borderId="4" xfId="0" applyNumberFormat="1" applyFont="1" applyFill="1" applyBorder="1"/>
    <xf numFmtId="192" fontId="0" fillId="0" borderId="8" xfId="0" applyNumberFormat="1" applyFont="1" applyFill="1" applyBorder="1"/>
    <xf numFmtId="0" fontId="2" fillId="3" borderId="0" xfId="0" applyNumberFormat="1" applyFont="1" applyFill="1" applyBorder="1"/>
    <xf numFmtId="0" fontId="4" fillId="7" borderId="0" xfId="0" applyNumberFormat="1" applyFont="1" applyFill="1" applyBorder="1" applyAlignment="1">
      <alignment wrapText="1"/>
    </xf>
    <xf numFmtId="0" fontId="2" fillId="3" borderId="1" xfId="0" applyNumberFormat="1" applyFont="1" applyFill="1" applyBorder="1" applyAlignment="1">
      <alignment horizontal="center" wrapText="1"/>
    </xf>
    <xf numFmtId="0" fontId="2" fillId="3" borderId="2" xfId="0" applyNumberFormat="1" applyFont="1" applyFill="1" applyBorder="1" applyAlignment="1">
      <alignment horizontal="center" wrapText="1"/>
    </xf>
    <xf numFmtId="184" fontId="0" fillId="0" borderId="0" xfId="0" applyNumberFormat="1" applyFont="1" applyFill="1" applyAlignment="1">
      <alignment wrapText="1"/>
    </xf>
    <xf numFmtId="184" fontId="0" fillId="0" borderId="5" xfId="0" applyNumberFormat="1" applyFont="1" applyFill="1" applyBorder="1" applyAlignment="1">
      <alignment wrapText="1"/>
    </xf>
    <xf numFmtId="0" fontId="2" fillId="8" borderId="0" xfId="0" applyNumberFormat="1" applyFont="1" applyFill="1" applyBorder="1" applyAlignment="1">
      <alignment wrapText="1"/>
    </xf>
    <xf numFmtId="194" fontId="0" fillId="0" borderId="0" xfId="0" applyNumberFormat="1" applyFont="1" applyFill="1" applyBorder="1" applyAlignment="1">
      <alignment wrapText="1"/>
    </xf>
    <xf numFmtId="194" fontId="0" fillId="0" borderId="0" xfId="0" applyNumberFormat="1" applyFont="1" applyFill="1" applyAlignment="1">
      <alignment wrapText="1"/>
    </xf>
    <xf numFmtId="180" fontId="0" fillId="0" borderId="0" xfId="0" applyNumberFormat="1" applyFont="1" applyFill="1" applyAlignment="1">
      <alignment wrapText="1"/>
    </xf>
    <xf numFmtId="194" fontId="0" fillId="0" borderId="5" xfId="0" applyNumberFormat="1" applyFont="1" applyFill="1" applyBorder="1" applyAlignment="1">
      <alignment wrapText="1"/>
    </xf>
    <xf numFmtId="180" fontId="0" fillId="0" borderId="5" xfId="0" applyNumberFormat="1" applyFont="1" applyFill="1" applyBorder="1" applyAlignment="1">
      <alignment wrapText="1"/>
    </xf>
    <xf numFmtId="0" fontId="2" fillId="3" borderId="6" xfId="0" applyNumberFormat="1" applyFont="1" applyFill="1" applyBorder="1" applyAlignment="1">
      <alignment horizontal="center" wrapText="1"/>
    </xf>
    <xf numFmtId="180" fontId="0" fillId="0" borderId="7" xfId="0" applyNumberFormat="1" applyFont="1" applyFill="1" applyBorder="1" applyAlignment="1">
      <alignment wrapText="1"/>
    </xf>
    <xf numFmtId="180" fontId="0" fillId="0" borderId="8" xfId="0" applyNumberFormat="1" applyFont="1" applyFill="1" applyBorder="1" applyAlignment="1">
      <alignment wrapText="1"/>
    </xf>
    <xf numFmtId="0" fontId="9" fillId="0" borderId="0" xfId="0" applyNumberFormat="1" applyFont="1" applyFill="1"/>
    <xf numFmtId="192" fontId="10" fillId="0" borderId="0" xfId="0" applyNumberFormat="1" applyFont="1" applyFill="1"/>
    <xf numFmtId="0" fontId="9" fillId="0" borderId="5" xfId="0" applyNumberFormat="1" applyFont="1" applyFill="1" applyBorder="1"/>
    <xf numFmtId="192" fontId="10" fillId="0" borderId="5" xfId="0" applyNumberFormat="1" applyFont="1" applyFill="1" applyBorder="1"/>
    <xf numFmtId="193" fontId="10" fillId="0" borderId="0" xfId="0" applyNumberFormat="1" applyFont="1" applyFill="1"/>
    <xf numFmtId="0" fontId="10" fillId="0" borderId="0" xfId="0" applyNumberFormat="1" applyFont="1" applyFill="1"/>
    <xf numFmtId="193" fontId="10" fillId="0" borderId="5" xfId="0" applyNumberFormat="1" applyFont="1" applyFill="1" applyBorder="1"/>
    <xf numFmtId="0" fontId="10" fillId="0" borderId="5" xfId="0" applyNumberFormat="1" applyFont="1" applyFill="1" applyBorder="1"/>
    <xf numFmtId="180" fontId="10" fillId="0" borderId="0" xfId="0" applyNumberFormat="1" applyFont="1" applyFill="1"/>
    <xf numFmtId="180" fontId="10" fillId="0" borderId="5" xfId="0" applyNumberFormat="1" applyFont="1" applyFill="1" applyBorder="1"/>
    <xf numFmtId="195" fontId="10" fillId="0" borderId="0" xfId="0" applyNumberFormat="1" applyFont="1" applyFill="1"/>
    <xf numFmtId="0" fontId="10" fillId="0" borderId="7" xfId="0" applyNumberFormat="1" applyFont="1" applyFill="1" applyBorder="1"/>
    <xf numFmtId="195" fontId="10" fillId="0" borderId="5" xfId="0" applyNumberFormat="1" applyFont="1" applyFill="1" applyBorder="1"/>
    <xf numFmtId="0" fontId="10" fillId="0" borderId="8" xfId="0" applyNumberFormat="1" applyFont="1" applyFill="1" applyBorder="1"/>
    <xf numFmtId="0" fontId="4" fillId="9" borderId="0" xfId="0" applyNumberFormat="1" applyFont="1" applyFill="1" applyBorder="1" applyAlignment="1">
      <alignment wrapText="1"/>
    </xf>
    <xf numFmtId="192" fontId="0" fillId="0" borderId="0" xfId="0" applyNumberFormat="1" applyFont="1" applyFill="1" applyAlignment="1">
      <alignment wrapText="1"/>
    </xf>
    <xf numFmtId="0" fontId="3" fillId="6" borderId="4" xfId="0" applyNumberFormat="1" applyFont="1" applyFill="1" applyBorder="1" applyAlignment="1">
      <alignment wrapText="1"/>
    </xf>
    <xf numFmtId="192" fontId="3" fillId="6" borderId="5" xfId="0" applyNumberFormat="1" applyFont="1" applyFill="1" applyBorder="1" applyAlignment="1">
      <alignment wrapText="1"/>
    </xf>
    <xf numFmtId="0" fontId="3" fillId="6" borderId="8" xfId="0" applyNumberFormat="1" applyFont="1" applyFill="1" applyBorder="1" applyAlignment="1">
      <alignment wrapText="1"/>
    </xf>
    <xf numFmtId="184" fontId="3" fillId="6" borderId="5" xfId="0" applyNumberFormat="1" applyFont="1" applyFill="1" applyBorder="1" applyAlignment="1">
      <alignment wrapText="1"/>
    </xf>
    <xf numFmtId="193" fontId="0" fillId="0" borderId="0" xfId="0" applyNumberFormat="1" applyFont="1" applyFill="1" applyAlignment="1">
      <alignment wrapText="1"/>
    </xf>
    <xf numFmtId="193" fontId="3" fillId="6" borderId="5" xfId="0" applyNumberFormat="1" applyFont="1" applyFill="1" applyBorder="1" applyAlignment="1">
      <alignment wrapText="1"/>
    </xf>
    <xf numFmtId="184" fontId="9" fillId="0" borderId="0" xfId="0" applyNumberFormat="1" applyFont="1" applyFill="1" applyAlignment="1">
      <alignment wrapText="1"/>
    </xf>
    <xf numFmtId="196" fontId="9" fillId="0" borderId="0" xfId="0" applyNumberFormat="1" applyFont="1" applyFill="1" applyAlignment="1">
      <alignment wrapText="1"/>
    </xf>
    <xf numFmtId="197" fontId="9" fillId="0" borderId="0" xfId="0" applyNumberFormat="1" applyFont="1" applyFill="1" applyAlignment="1">
      <alignment wrapText="1"/>
    </xf>
    <xf numFmtId="196" fontId="10" fillId="0" borderId="0" xfId="0" applyNumberFormat="1" applyFont="1" applyFill="1" applyAlignment="1">
      <alignment wrapText="1"/>
    </xf>
    <xf numFmtId="193" fontId="9" fillId="0" borderId="0" xfId="0" applyNumberFormat="1" applyFont="1" applyFill="1" applyAlignment="1">
      <alignment wrapText="1"/>
    </xf>
    <xf numFmtId="196" fontId="9" fillId="0" borderId="5" xfId="0" applyNumberFormat="1" applyFont="1" applyFill="1" applyBorder="1" applyAlignment="1">
      <alignment wrapText="1"/>
    </xf>
    <xf numFmtId="179" fontId="9" fillId="0" borderId="0" xfId="0" applyNumberFormat="1" applyFont="1" applyFill="1" applyBorder="1"/>
    <xf numFmtId="0" fontId="9" fillId="0" borderId="0" xfId="0" applyNumberFormat="1" applyFont="1" applyFill="1" applyBorder="1"/>
    <xf numFmtId="0" fontId="5" fillId="3" borderId="0" xfId="0" applyNumberFormat="1" applyFont="1" applyFill="1" applyBorder="1" applyAlignment="1">
      <alignment horizontal="center"/>
    </xf>
    <xf numFmtId="0" fontId="2" fillId="8" borderId="1" xfId="0" applyNumberFormat="1" applyFont="1" applyFill="1" applyBorder="1" applyAlignment="1">
      <alignment wrapText="1"/>
    </xf>
    <xf numFmtId="0" fontId="2" fillId="8" borderId="6" xfId="0" applyNumberFormat="1" applyFont="1" applyFill="1" applyBorder="1" applyAlignment="1">
      <alignment wrapText="1"/>
    </xf>
    <xf numFmtId="0" fontId="0" fillId="0" borderId="0" xfId="0" applyFill="1"/>
    <xf numFmtId="0" fontId="1" fillId="3" borderId="0" xfId="0" applyNumberFormat="1" applyFont="1" applyFill="1" applyBorder="1" applyAlignment="1">
      <alignment horizontal="center" wrapText="1"/>
    </xf>
    <xf numFmtId="0" fontId="2" fillId="8" borderId="1" xfId="0" applyNumberFormat="1" applyFont="1" applyFill="1" applyBorder="1" applyAlignment="1">
      <alignment horizontal="center" wrapText="1"/>
    </xf>
    <xf numFmtId="0" fontId="2" fillId="8" borderId="2" xfId="0" applyNumberFormat="1" applyFont="1" applyFill="1" applyBorder="1" applyAlignment="1">
      <alignment horizontal="center" wrapText="1"/>
    </xf>
    <xf numFmtId="3" fontId="0" fillId="0" borderId="0" xfId="0" applyNumberFormat="1" applyFont="1" applyFill="1" applyBorder="1" applyAlignment="1">
      <alignment wrapText="1"/>
    </xf>
    <xf numFmtId="0" fontId="3" fillId="6" borderId="5" xfId="0" applyNumberFormat="1" applyFont="1" applyFill="1" applyBorder="1" applyAlignment="1">
      <alignment wrapText="1"/>
    </xf>
    <xf numFmtId="3" fontId="3" fillId="6" borderId="5" xfId="0" applyNumberFormat="1" applyFont="1" applyFill="1" applyBorder="1" applyAlignment="1">
      <alignment wrapText="1"/>
    </xf>
    <xf numFmtId="4" fontId="0" fillId="0" borderId="0" xfId="0" applyNumberFormat="1" applyFont="1" applyFill="1" applyBorder="1" applyAlignment="1">
      <alignment wrapText="1"/>
    </xf>
    <xf numFmtId="4" fontId="3" fillId="6" borderId="5" xfId="0" applyNumberFormat="1" applyFont="1" applyFill="1" applyBorder="1" applyAlignment="1">
      <alignment wrapText="1"/>
    </xf>
    <xf numFmtId="198" fontId="0" fillId="0" borderId="0" xfId="0" applyNumberFormat="1" applyFont="1" applyFill="1" applyBorder="1" applyAlignment="1">
      <alignment wrapText="1"/>
    </xf>
    <xf numFmtId="198" fontId="3" fillId="6" borderId="5" xfId="0" applyNumberFormat="1" applyFont="1" applyFill="1" applyBorder="1" applyAlignment="1">
      <alignment wrapText="1"/>
    </xf>
    <xf numFmtId="0" fontId="2" fillId="8" borderId="6" xfId="0" applyNumberFormat="1" applyFont="1" applyFill="1" applyBorder="1" applyAlignment="1">
      <alignment horizontal="center" wrapText="1"/>
    </xf>
    <xf numFmtId="0" fontId="5" fillId="3" borderId="0" xfId="0" applyNumberFormat="1" applyFont="1" applyFill="1" applyBorder="1" applyAlignment="1">
      <alignment horizont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9">
    <dxf>
      <font>
        <color rgb="FF9C0006"/>
      </font>
      <fill>
        <patternFill patternType="solid">
          <bgColor rgb="FFF4CCCC"/>
        </patternFill>
      </fill>
    </dxf>
    <dxf>
      <font>
        <color rgb="FF7F6000"/>
      </font>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7" Type="http://schemas.openxmlformats.org/officeDocument/2006/relationships/styles" Target="styles.xml"/><Relationship Id="rId26" Type="http://schemas.openxmlformats.org/officeDocument/2006/relationships/sharedStrings" Target="sharedStrings.xml"/><Relationship Id="rId25" Type="http://schemas.openxmlformats.org/officeDocument/2006/relationships/theme" Target="theme/theme1.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Combined Historical Electricity Load</a:t>
            </a:r>
          </a:p>
        </c:rich>
      </c:tx>
      <c:layout/>
      <c:overlay val="0"/>
    </c:title>
    <c:autoTitleDeleted val="0"/>
    <c:plotArea>
      <c:layout/>
      <c:lineChart>
        <c:grouping val="standard"/>
        <c:varyColors val="0"/>
        <c:ser>
          <c:idx val="0"/>
          <c:order val="0"/>
          <c:tx>
            <c:strRef>
              <c:f>"Start Date"</c:f>
              <c:strCache>
                <c:ptCount val="1"/>
                <c:pt idx="0">
                  <c:v>Start Date</c:v>
                </c:pt>
              </c:strCache>
            </c:strRef>
          </c:tx>
          <c:marker>
            <c:symbol val="none"/>
          </c:marker>
          <c:dLbls>
            <c:delete val="1"/>
          </c:dLbls>
          <c:cat>
            <c:strRef>
              <c:f>'Combined TOU Profile'!$A$5:$A$16</c:f>
              <c:strCache>
                <c:ptCount val="12"/>
                <c:pt idx="0">
                  <c:v>Oct 2023</c:v>
                </c:pt>
                <c:pt idx="1">
                  <c:v>Nov 2023</c:v>
                </c:pt>
                <c:pt idx="2">
                  <c:v>Dec 2023</c:v>
                </c:pt>
                <c:pt idx="3">
                  <c:v>Jan 2024</c:v>
                </c:pt>
                <c:pt idx="4">
                  <c:v>Feb 2024</c:v>
                </c:pt>
                <c:pt idx="5">
                  <c:v>Mar 2024</c:v>
                </c:pt>
                <c:pt idx="6">
                  <c:v>Apr 2024</c:v>
                </c:pt>
                <c:pt idx="7">
                  <c:v>May 2024</c:v>
                </c:pt>
                <c:pt idx="8">
                  <c:v>Jun 2024</c:v>
                </c:pt>
                <c:pt idx="9">
                  <c:v>Jul 2024</c:v>
                </c:pt>
                <c:pt idx="10">
                  <c:v>Aug 2024</c:v>
                </c:pt>
                <c:pt idx="11">
                  <c:v>Sep 2024</c:v>
                </c:pt>
              </c:strCache>
            </c:strRef>
          </c:cat>
          <c:val>
            <c:numRef>
              <c:f>'Combined TOU Profile'!$B$5:$B$16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1"/>
        </c:ser>
        <c:ser>
          <c:idx val="1"/>
          <c:order val="1"/>
          <c:tx>
            <c:strRef>
              <c:f>"End Date"</c:f>
              <c:strCache>
                <c:ptCount val="1"/>
                <c:pt idx="0">
                  <c:v>End Date</c:v>
                </c:pt>
              </c:strCache>
            </c:strRef>
          </c:tx>
          <c:marker>
            <c:symbol val="none"/>
          </c:marker>
          <c:dLbls>
            <c:delete val="1"/>
          </c:dLbls>
          <c:cat>
            <c:strRef>
              <c:f>'Combined TOU Profile'!$A$5:$A$16</c:f>
              <c:strCache>
                <c:ptCount val="12"/>
                <c:pt idx="0">
                  <c:v>Oct 2023</c:v>
                </c:pt>
                <c:pt idx="1">
                  <c:v>Nov 2023</c:v>
                </c:pt>
                <c:pt idx="2">
                  <c:v>Dec 2023</c:v>
                </c:pt>
                <c:pt idx="3">
                  <c:v>Jan 2024</c:v>
                </c:pt>
                <c:pt idx="4">
                  <c:v>Feb 2024</c:v>
                </c:pt>
                <c:pt idx="5">
                  <c:v>Mar 2024</c:v>
                </c:pt>
                <c:pt idx="6">
                  <c:v>Apr 2024</c:v>
                </c:pt>
                <c:pt idx="7">
                  <c:v>May 2024</c:v>
                </c:pt>
                <c:pt idx="8">
                  <c:v>Jun 2024</c:v>
                </c:pt>
                <c:pt idx="9">
                  <c:v>Jul 2024</c:v>
                </c:pt>
                <c:pt idx="10">
                  <c:v>Aug 2024</c:v>
                </c:pt>
                <c:pt idx="11">
                  <c:v>Sep 2024</c:v>
                </c:pt>
              </c:strCache>
            </c:strRef>
          </c:cat>
          <c:val>
            <c:numRef>
              <c:f>'Combined TOU Profile'!$C$5:$C$16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1"/>
        </c:ser>
        <c:ser>
          <c:idx val="2"/>
          <c:order val="2"/>
          <c:tx>
            <c:strRef>
              <c:f>'Combined TOU Profile'!$D$4</c:f>
              <c:strCache>
                <c:ptCount val="1"/>
                <c:pt idx="0">
                  <c:v>Meter 1 Load (kWh)</c:v>
                </c:pt>
              </c:strCache>
            </c:strRef>
          </c:tx>
          <c:marker>
            <c:symbol val="none"/>
          </c:marker>
          <c:dLbls>
            <c:delete val="1"/>
          </c:dLbls>
          <c:cat>
            <c:strRef>
              <c:f>'Combined TOU Profile'!$A$5:$A$16</c:f>
              <c:strCache>
                <c:ptCount val="12"/>
                <c:pt idx="0">
                  <c:v>Oct 2023</c:v>
                </c:pt>
                <c:pt idx="1">
                  <c:v>Nov 2023</c:v>
                </c:pt>
                <c:pt idx="2">
                  <c:v>Dec 2023</c:v>
                </c:pt>
                <c:pt idx="3">
                  <c:v>Jan 2024</c:v>
                </c:pt>
                <c:pt idx="4">
                  <c:v>Feb 2024</c:v>
                </c:pt>
                <c:pt idx="5">
                  <c:v>Mar 2024</c:v>
                </c:pt>
                <c:pt idx="6">
                  <c:v>Apr 2024</c:v>
                </c:pt>
                <c:pt idx="7">
                  <c:v>May 2024</c:v>
                </c:pt>
                <c:pt idx="8">
                  <c:v>Jun 2024</c:v>
                </c:pt>
                <c:pt idx="9">
                  <c:v>Jul 2024</c:v>
                </c:pt>
                <c:pt idx="10">
                  <c:v>Aug 2024</c:v>
                </c:pt>
                <c:pt idx="11">
                  <c:v>Sep 2024</c:v>
                </c:pt>
              </c:strCache>
            </c:strRef>
          </c:cat>
          <c:val>
            <c:numRef>
              <c:f>'Combined TOU Profile'!$D$5:$D$16</c:f>
              <c:numCache>
                <c:formatCode>#,##0</c:formatCode>
                <c:ptCount val="12"/>
                <c:pt idx="0">
                  <c:v>7569</c:v>
                </c:pt>
                <c:pt idx="1">
                  <c:v>9408</c:v>
                </c:pt>
                <c:pt idx="2">
                  <c:v>11409</c:v>
                </c:pt>
                <c:pt idx="3">
                  <c:v>12241</c:v>
                </c:pt>
                <c:pt idx="4">
                  <c:v>10734</c:v>
                </c:pt>
                <c:pt idx="5">
                  <c:v>7646</c:v>
                </c:pt>
                <c:pt idx="6">
                  <c:v>6348</c:v>
                </c:pt>
                <c:pt idx="7">
                  <c:v>6057</c:v>
                </c:pt>
                <c:pt idx="8">
                  <c:v>8802</c:v>
                </c:pt>
                <c:pt idx="9">
                  <c:v>12723</c:v>
                </c:pt>
                <c:pt idx="10">
                  <c:v>13067</c:v>
                </c:pt>
                <c:pt idx="11">
                  <c:v>11054</c:v>
                </c:pt>
              </c:numCache>
            </c:numRef>
          </c:val>
          <c:smooth val="1"/>
        </c:ser>
        <c:ser>
          <c:idx val="3"/>
          <c:order val="3"/>
          <c:tx>
            <c:strRef>
              <c:f>'Combined TOU Profile'!$E$4</c:f>
              <c:strCache>
                <c:ptCount val="1"/>
                <c:pt idx="0">
                  <c:v>Meter 2 Load (kWh)</c:v>
                </c:pt>
              </c:strCache>
            </c:strRef>
          </c:tx>
          <c:marker>
            <c:symbol val="none"/>
          </c:marker>
          <c:dLbls>
            <c:delete val="1"/>
          </c:dLbls>
          <c:cat>
            <c:strRef>
              <c:f>'Combined TOU Profile'!$A$5:$A$16</c:f>
              <c:strCache>
                <c:ptCount val="12"/>
                <c:pt idx="0">
                  <c:v>Oct 2023</c:v>
                </c:pt>
                <c:pt idx="1">
                  <c:v>Nov 2023</c:v>
                </c:pt>
                <c:pt idx="2">
                  <c:v>Dec 2023</c:v>
                </c:pt>
                <c:pt idx="3">
                  <c:v>Jan 2024</c:v>
                </c:pt>
                <c:pt idx="4">
                  <c:v>Feb 2024</c:v>
                </c:pt>
                <c:pt idx="5">
                  <c:v>Mar 2024</c:v>
                </c:pt>
                <c:pt idx="6">
                  <c:v>Apr 2024</c:v>
                </c:pt>
                <c:pt idx="7">
                  <c:v>May 2024</c:v>
                </c:pt>
                <c:pt idx="8">
                  <c:v>Jun 2024</c:v>
                </c:pt>
                <c:pt idx="9">
                  <c:v>Jul 2024</c:v>
                </c:pt>
                <c:pt idx="10">
                  <c:v>Aug 2024</c:v>
                </c:pt>
                <c:pt idx="11">
                  <c:v>Sep 2024</c:v>
                </c:pt>
              </c:strCache>
            </c:strRef>
          </c:cat>
          <c:val>
            <c:numRef>
              <c:f>'Combined TOU Profile'!$E$5:$E$16</c:f>
              <c:numCache>
                <c:formatCode>#,##0</c:formatCode>
                <c:ptCount val="12"/>
                <c:pt idx="0">
                  <c:v>42448</c:v>
                </c:pt>
                <c:pt idx="1">
                  <c:v>51688</c:v>
                </c:pt>
                <c:pt idx="2">
                  <c:v>41843</c:v>
                </c:pt>
                <c:pt idx="3">
                  <c:v>42603</c:v>
                </c:pt>
                <c:pt idx="4">
                  <c:v>38192</c:v>
                </c:pt>
                <c:pt idx="5">
                  <c:v>44803</c:v>
                </c:pt>
                <c:pt idx="6">
                  <c:v>34404</c:v>
                </c:pt>
                <c:pt idx="7">
                  <c:v>45163</c:v>
                </c:pt>
                <c:pt idx="8">
                  <c:v>41942</c:v>
                </c:pt>
                <c:pt idx="9">
                  <c:v>68386</c:v>
                </c:pt>
                <c:pt idx="10">
                  <c:v>67656</c:v>
                </c:pt>
                <c:pt idx="11">
                  <c:v>73315</c:v>
                </c:pt>
              </c:numCache>
            </c:numRef>
          </c:val>
          <c:smooth val="1"/>
        </c:ser>
        <c:ser>
          <c:idx val="4"/>
          <c:order val="4"/>
          <c:tx>
            <c:strRef>
              <c:f>"Combined Load (kWh)"</c:f>
              <c:strCache>
                <c:ptCount val="1"/>
                <c:pt idx="0">
                  <c:v>Combined Load (kWh)</c:v>
                </c:pt>
              </c:strCache>
            </c:strRef>
          </c:tx>
          <c:marker>
            <c:symbol val="none"/>
          </c:marker>
          <c:dLbls>
            <c:delete val="1"/>
          </c:dLbls>
          <c:cat>
            <c:strRef>
              <c:f>'Combined TOU Profile'!$A$5:$A$16</c:f>
              <c:strCache>
                <c:ptCount val="12"/>
                <c:pt idx="0">
                  <c:v>Oct 2023</c:v>
                </c:pt>
                <c:pt idx="1">
                  <c:v>Nov 2023</c:v>
                </c:pt>
                <c:pt idx="2">
                  <c:v>Dec 2023</c:v>
                </c:pt>
                <c:pt idx="3">
                  <c:v>Jan 2024</c:v>
                </c:pt>
                <c:pt idx="4">
                  <c:v>Feb 2024</c:v>
                </c:pt>
                <c:pt idx="5">
                  <c:v>Mar 2024</c:v>
                </c:pt>
                <c:pt idx="6">
                  <c:v>Apr 2024</c:v>
                </c:pt>
                <c:pt idx="7">
                  <c:v>May 2024</c:v>
                </c:pt>
                <c:pt idx="8">
                  <c:v>Jun 2024</c:v>
                </c:pt>
                <c:pt idx="9">
                  <c:v>Jul 2024</c:v>
                </c:pt>
                <c:pt idx="10">
                  <c:v>Aug 2024</c:v>
                </c:pt>
                <c:pt idx="11">
                  <c:v>Sep 2024</c:v>
                </c:pt>
              </c:strCache>
            </c:strRef>
          </c:cat>
          <c:val>
            <c:numRef>
              <c:f>'Combined TOU Profile'!$F$5:$F$16</c:f>
              <c:numCache>
                <c:formatCode>#,##0</c:formatCode>
                <c:ptCount val="12"/>
                <c:pt idx="0">
                  <c:v>50017</c:v>
                </c:pt>
                <c:pt idx="1">
                  <c:v>61096</c:v>
                </c:pt>
                <c:pt idx="2">
                  <c:v>53252</c:v>
                </c:pt>
                <c:pt idx="3">
                  <c:v>54844</c:v>
                </c:pt>
                <c:pt idx="4">
                  <c:v>48926</c:v>
                </c:pt>
                <c:pt idx="5">
                  <c:v>52449</c:v>
                </c:pt>
                <c:pt idx="6">
                  <c:v>40752</c:v>
                </c:pt>
                <c:pt idx="7">
                  <c:v>51220</c:v>
                </c:pt>
                <c:pt idx="8">
                  <c:v>50744</c:v>
                </c:pt>
                <c:pt idx="9">
                  <c:v>81109</c:v>
                </c:pt>
                <c:pt idx="10">
                  <c:v>80723</c:v>
                </c:pt>
                <c:pt idx="11">
                  <c:v>84369</c:v>
                </c:pt>
              </c:numCache>
            </c:numRef>
          </c:val>
          <c:smooth val="1"/>
        </c:ser>
        <c:dLbls>
          <c:showLegendKey val="0"/>
          <c:showVal val="0"/>
          <c:showCatName val="0"/>
          <c:showSerName val="0"/>
          <c:showPercent val="0"/>
          <c:showBubbleSize val="0"/>
        </c:dLbls>
        <c:marker val="0"/>
        <c:smooth val="1"/>
        <c:axId val="48650112"/>
        <c:axId val="48672768"/>
      </c:line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91d17e8c-ae75-4d06-906a-edda941c9583}"/>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"On-Peak"</c:f>
              <c:strCache>
                <c:ptCount val="1"/>
                <c:pt idx="0">
                  <c:v>On-Peak</c:v>
                </c:pt>
              </c:strCache>
            </c:strRef>
          </c:tx>
          <c:invertIfNegative val="0"/>
          <c:dLbls>
            <c:delete val="1"/>
          </c:dLbls>
          <c:cat>
            <c:strRef>
              <c:f>'Combined TOU Profile'!$A$5:$A$16</c:f>
              <c:strCache>
                <c:ptCount val="12"/>
                <c:pt idx="0">
                  <c:v>Oct 2023</c:v>
                </c:pt>
                <c:pt idx="1">
                  <c:v>Nov 2023</c:v>
                </c:pt>
                <c:pt idx="2">
                  <c:v>Dec 2023</c:v>
                </c:pt>
                <c:pt idx="3">
                  <c:v>Jan 2024</c:v>
                </c:pt>
                <c:pt idx="4">
                  <c:v>Feb 2024</c:v>
                </c:pt>
                <c:pt idx="5">
                  <c:v>Mar 2024</c:v>
                </c:pt>
                <c:pt idx="6">
                  <c:v>Apr 2024</c:v>
                </c:pt>
                <c:pt idx="7">
                  <c:v>May 2024</c:v>
                </c:pt>
                <c:pt idx="8">
                  <c:v>Jun 2024</c:v>
                </c:pt>
                <c:pt idx="9">
                  <c:v>Jul 2024</c:v>
                </c:pt>
                <c:pt idx="10">
                  <c:v>Aug 2024</c:v>
                </c:pt>
                <c:pt idx="11">
                  <c:v>Sep 2024</c:v>
                </c:pt>
              </c:strCache>
            </c:strRef>
          </c:cat>
          <c:val>
            <c:numRef>
              <c:f>'Combined TOU Profile'!$G$5:$G$16</c:f>
              <c:numCache>
                <c:formatCode>#,##0</c:formatCode>
                <c:ptCount val="12"/>
                <c:pt idx="0">
                  <c:v>444</c:v>
                </c:pt>
                <c:pt idx="1">
                  <c:v>0</c:v>
                </c:pt>
                <c:pt idx="2">
                  <c:v>0</c:v>
                </c:pt>
                <c:pt idx="3">
                  <c:v>0</c:v>
                </c:pt>
                <c:pt idx="4">
                  <c:v>0</c:v>
                </c:pt>
                <c:pt idx="5">
                  <c:v>0</c:v>
                </c:pt>
                <c:pt idx="6">
                  <c:v>0</c:v>
                </c:pt>
                <c:pt idx="7">
                  <c:v>403.833237303482</c:v>
                </c:pt>
                <c:pt idx="8">
                  <c:v>1008</c:v>
                </c:pt>
                <c:pt idx="9">
                  <c:v>2075</c:v>
                </c:pt>
                <c:pt idx="10">
                  <c:v>4892</c:v>
                </c:pt>
                <c:pt idx="11">
                  <c:v>3782</c:v>
                </c:pt>
              </c:numCache>
            </c:numRef>
          </c:val>
        </c:ser>
        <c:ser>
          <c:idx val="1"/>
          <c:order val="1"/>
          <c:tx>
            <c:strRef>
              <c:f>"Mid-Peak"</c:f>
              <c:strCache>
                <c:ptCount val="1"/>
                <c:pt idx="0">
                  <c:v>Mid-Peak</c:v>
                </c:pt>
              </c:strCache>
            </c:strRef>
          </c:tx>
          <c:invertIfNegative val="0"/>
          <c:dLbls>
            <c:delete val="1"/>
          </c:dLbls>
          <c:cat>
            <c:strRef>
              <c:f>'Combined TOU Profile'!$A$5:$A$16</c:f>
              <c:strCache>
                <c:ptCount val="12"/>
                <c:pt idx="0">
                  <c:v>Oct 2023</c:v>
                </c:pt>
                <c:pt idx="1">
                  <c:v>Nov 2023</c:v>
                </c:pt>
                <c:pt idx="2">
                  <c:v>Dec 2023</c:v>
                </c:pt>
                <c:pt idx="3">
                  <c:v>Jan 2024</c:v>
                </c:pt>
                <c:pt idx="4">
                  <c:v>Feb 2024</c:v>
                </c:pt>
                <c:pt idx="5">
                  <c:v>Mar 2024</c:v>
                </c:pt>
                <c:pt idx="6">
                  <c:v>Apr 2024</c:v>
                </c:pt>
                <c:pt idx="7">
                  <c:v>May 2024</c:v>
                </c:pt>
                <c:pt idx="8">
                  <c:v>Jun 2024</c:v>
                </c:pt>
                <c:pt idx="9">
                  <c:v>Jul 2024</c:v>
                </c:pt>
                <c:pt idx="10">
                  <c:v>Aug 2024</c:v>
                </c:pt>
                <c:pt idx="11">
                  <c:v>Sep 2024</c:v>
                </c:pt>
              </c:strCache>
            </c:strRef>
          </c:cat>
          <c:val>
            <c:numRef>
              <c:f>'Combined TOU Profile'!$H$5:$H$16</c:f>
              <c:numCache>
                <c:formatCode>#,##0</c:formatCode>
                <c:ptCount val="12"/>
                <c:pt idx="0">
                  <c:v>1257</c:v>
                </c:pt>
                <c:pt idx="1">
                  <c:v>1654</c:v>
                </c:pt>
                <c:pt idx="2">
                  <c:v>2024</c:v>
                </c:pt>
                <c:pt idx="3">
                  <c:v>2137</c:v>
                </c:pt>
                <c:pt idx="4">
                  <c:v>1802</c:v>
                </c:pt>
                <c:pt idx="5">
                  <c:v>1437</c:v>
                </c:pt>
                <c:pt idx="6">
                  <c:v>1317</c:v>
                </c:pt>
                <c:pt idx="7">
                  <c:v>876.329080582764</c:v>
                </c:pt>
                <c:pt idx="8">
                  <c:v>993</c:v>
                </c:pt>
                <c:pt idx="9">
                  <c:v>723</c:v>
                </c:pt>
                <c:pt idx="10">
                  <c:v>631</c:v>
                </c:pt>
                <c:pt idx="11">
                  <c:v>629</c:v>
                </c:pt>
              </c:numCache>
            </c:numRef>
          </c:val>
        </c:ser>
        <c:ser>
          <c:idx val="2"/>
          <c:order val="2"/>
          <c:tx>
            <c:strRef>
              <c:f>"Off-Peak"</c:f>
              <c:strCache>
                <c:ptCount val="1"/>
                <c:pt idx="0">
                  <c:v>Off-Peak</c:v>
                </c:pt>
              </c:strCache>
            </c:strRef>
          </c:tx>
          <c:invertIfNegative val="0"/>
          <c:dLbls>
            <c:delete val="1"/>
          </c:dLbls>
          <c:cat>
            <c:strRef>
              <c:f>'Combined TOU Profile'!$A$5:$A$16</c:f>
              <c:strCache>
                <c:ptCount val="12"/>
                <c:pt idx="0">
                  <c:v>Oct 2023</c:v>
                </c:pt>
                <c:pt idx="1">
                  <c:v>Nov 2023</c:v>
                </c:pt>
                <c:pt idx="2">
                  <c:v>Dec 2023</c:v>
                </c:pt>
                <c:pt idx="3">
                  <c:v>Jan 2024</c:v>
                </c:pt>
                <c:pt idx="4">
                  <c:v>Feb 2024</c:v>
                </c:pt>
                <c:pt idx="5">
                  <c:v>Mar 2024</c:v>
                </c:pt>
                <c:pt idx="6">
                  <c:v>Apr 2024</c:v>
                </c:pt>
                <c:pt idx="7">
                  <c:v>May 2024</c:v>
                </c:pt>
                <c:pt idx="8">
                  <c:v>Jun 2024</c:v>
                </c:pt>
                <c:pt idx="9">
                  <c:v>Jul 2024</c:v>
                </c:pt>
                <c:pt idx="10">
                  <c:v>Aug 2024</c:v>
                </c:pt>
                <c:pt idx="11">
                  <c:v>Sep 2024</c:v>
                </c:pt>
              </c:strCache>
            </c:strRef>
          </c:cat>
          <c:val>
            <c:numRef>
              <c:f>'Combined TOU Profile'!$I$5:$I$16</c:f>
              <c:numCache>
                <c:formatCode>#,##0</c:formatCode>
                <c:ptCount val="12"/>
                <c:pt idx="0">
                  <c:v>23266</c:v>
                </c:pt>
                <c:pt idx="1">
                  <c:v>7943</c:v>
                </c:pt>
                <c:pt idx="2">
                  <c:v>9061</c:v>
                </c:pt>
                <c:pt idx="3">
                  <c:v>9236</c:v>
                </c:pt>
                <c:pt idx="4">
                  <c:v>7990</c:v>
                </c:pt>
                <c:pt idx="5">
                  <c:v>7826</c:v>
                </c:pt>
                <c:pt idx="6">
                  <c:v>6094</c:v>
                </c:pt>
                <c:pt idx="7">
                  <c:v>7752.36085274508</c:v>
                </c:pt>
                <c:pt idx="8">
                  <c:v>32110</c:v>
                </c:pt>
                <c:pt idx="9">
                  <c:v>78311</c:v>
                </c:pt>
                <c:pt idx="10">
                  <c:v>75200</c:v>
                </c:pt>
                <c:pt idx="11">
                  <c:v>79958</c:v>
                </c:pt>
              </c:numCache>
            </c:numRef>
          </c:val>
        </c:ser>
        <c:ser>
          <c:idx val="3"/>
          <c:order val="3"/>
          <c:tx>
            <c:strRef>
              <c:f>"Super-Off-Peak"</c:f>
              <c:strCache>
                <c:ptCount val="1"/>
                <c:pt idx="0">
                  <c:v>Super-Off-Peak</c:v>
                </c:pt>
              </c:strCache>
            </c:strRef>
          </c:tx>
          <c:invertIfNegative val="0"/>
          <c:dLbls>
            <c:delete val="1"/>
          </c:dLbls>
          <c:cat>
            <c:strRef>
              <c:f>'Combined TOU Profile'!$A$5:$A$16</c:f>
              <c:strCache>
                <c:ptCount val="12"/>
                <c:pt idx="0">
                  <c:v>Oct 2023</c:v>
                </c:pt>
                <c:pt idx="1">
                  <c:v>Nov 2023</c:v>
                </c:pt>
                <c:pt idx="2">
                  <c:v>Dec 2023</c:v>
                </c:pt>
                <c:pt idx="3">
                  <c:v>Jan 2024</c:v>
                </c:pt>
                <c:pt idx="4">
                  <c:v>Feb 2024</c:v>
                </c:pt>
                <c:pt idx="5">
                  <c:v>Mar 2024</c:v>
                </c:pt>
                <c:pt idx="6">
                  <c:v>Apr 2024</c:v>
                </c:pt>
                <c:pt idx="7">
                  <c:v>May 2024</c:v>
                </c:pt>
                <c:pt idx="8">
                  <c:v>Jun 2024</c:v>
                </c:pt>
                <c:pt idx="9">
                  <c:v>Jul 2024</c:v>
                </c:pt>
                <c:pt idx="10">
                  <c:v>Aug 2024</c:v>
                </c:pt>
                <c:pt idx="11">
                  <c:v>Sep 2024</c:v>
                </c:pt>
              </c:strCache>
            </c:strRef>
          </c:cat>
          <c:val>
            <c:numRef>
              <c:f>'Combined TOU Profile'!$J$5:$J$16</c:f>
              <c:numCache>
                <c:formatCode>#,##0</c:formatCode>
                <c:ptCount val="12"/>
                <c:pt idx="0">
                  <c:v>25050</c:v>
                </c:pt>
                <c:pt idx="1">
                  <c:v>51499</c:v>
                </c:pt>
                <c:pt idx="2">
                  <c:v>42167</c:v>
                </c:pt>
                <c:pt idx="3">
                  <c:v>43471</c:v>
                </c:pt>
                <c:pt idx="4">
                  <c:v>39134</c:v>
                </c:pt>
                <c:pt idx="5">
                  <c:v>43186</c:v>
                </c:pt>
                <c:pt idx="6">
                  <c:v>33341</c:v>
                </c:pt>
                <c:pt idx="7">
                  <c:v>42187.4768293687</c:v>
                </c:pt>
                <c:pt idx="8">
                  <c:v>16633</c:v>
                </c:pt>
                <c:pt idx="9">
                  <c:v>0</c:v>
                </c:pt>
                <c:pt idx="10">
                  <c:v>0</c:v>
                </c:pt>
                <c:pt idx="11">
                  <c:v>0</c:v>
                </c:pt>
              </c:numCache>
            </c:numRef>
          </c:val>
        </c:ser>
        <c:dLbls>
          <c:showLegendKey val="0"/>
          <c:showVal val="0"/>
          <c:showCatName val="0"/>
          <c:showSerName val="0"/>
          <c:showPercent val="0"/>
          <c:showBubbleSize val="0"/>
        </c:dLbls>
        <c:gapWidth val="150"/>
        <c:overlap val="10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9d9da35-5b8f-46c5-9713-04490e979b33}"/>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"Load"</c:f>
              <c:strCache>
                <c:ptCount val="1"/>
                <c:pt idx="0">
                  <c:v>Load</c:v>
                </c:pt>
              </c:strCache>
            </c:strRef>
          </c:tx>
          <c:marker>
            <c:symbol val="none"/>
          </c:marker>
          <c:dLbls>
            <c:delete val="1"/>
          </c:dLbls>
          <c:cat>
            <c:strRef>
              <c:f>'PV Production'!$A$5:$A$16</c:f>
              <c:strCache>
                <c:ptCount val="12"/>
                <c:pt idx="0">
                  <c:v>Jan 2024</c:v>
                </c:pt>
                <c:pt idx="1">
                  <c:v>Feb 2024</c:v>
                </c:pt>
                <c:pt idx="2">
                  <c:v>Mar 2024</c:v>
                </c:pt>
                <c:pt idx="3">
                  <c:v>Apr 2024</c:v>
                </c:pt>
                <c:pt idx="4">
                  <c:v>May 2024</c:v>
                </c:pt>
                <c:pt idx="5">
                  <c:v>Jun 2024</c:v>
                </c:pt>
                <c:pt idx="6">
                  <c:v>Jul 2024</c:v>
                </c:pt>
                <c:pt idx="7">
                  <c:v>Aug 2024</c:v>
                </c:pt>
                <c:pt idx="8">
                  <c:v>Sep 2024</c:v>
                </c:pt>
                <c:pt idx="9">
                  <c:v>Oct 2023</c:v>
                </c:pt>
                <c:pt idx="10">
                  <c:v>Nov 2023</c:v>
                </c:pt>
                <c:pt idx="11">
                  <c:v>Dec 2023</c:v>
                </c:pt>
              </c:strCache>
            </c:strRef>
          </c:cat>
          <c:val>
            <c:numRef>
              <c:f>'PV Production'!$B$5:$B$16</c:f>
              <c:numCache>
                <c:formatCode>#,##0;[Red]\(#,##0\);\-</c:formatCode>
                <c:ptCount val="12"/>
                <c:pt idx="0">
                  <c:v>54844</c:v>
                </c:pt>
                <c:pt idx="1">
                  <c:v>48926</c:v>
                </c:pt>
                <c:pt idx="2">
                  <c:v>52449</c:v>
                </c:pt>
                <c:pt idx="3">
                  <c:v>40752</c:v>
                </c:pt>
                <c:pt idx="4">
                  <c:v>51220</c:v>
                </c:pt>
                <c:pt idx="5">
                  <c:v>50744</c:v>
                </c:pt>
                <c:pt idx="6">
                  <c:v>81109</c:v>
                </c:pt>
                <c:pt idx="7">
                  <c:v>80723</c:v>
                </c:pt>
                <c:pt idx="8">
                  <c:v>84369</c:v>
                </c:pt>
                <c:pt idx="9">
                  <c:v>50017</c:v>
                </c:pt>
                <c:pt idx="10">
                  <c:v>61096</c:v>
                </c:pt>
                <c:pt idx="11">
                  <c:v>53252</c:v>
                </c:pt>
              </c:numCache>
            </c:numRef>
          </c:val>
          <c:smooth val="1"/>
        </c:ser>
        <c:ser>
          <c:idx val="1"/>
          <c:order val="1"/>
          <c:tx>
            <c:strRef>
              <c:f>"PV Generation"</c:f>
              <c:strCache>
                <c:ptCount val="1"/>
                <c:pt idx="0">
                  <c:v>PV Generation</c:v>
                </c:pt>
              </c:strCache>
            </c:strRef>
          </c:tx>
          <c:marker>
            <c:symbol val="none"/>
          </c:marker>
          <c:dLbls>
            <c:delete val="1"/>
          </c:dLbls>
          <c:cat>
            <c:strRef>
              <c:f>'PV Production'!$A$5:$A$16</c:f>
              <c:strCache>
                <c:ptCount val="12"/>
                <c:pt idx="0">
                  <c:v>Jan 2024</c:v>
                </c:pt>
                <c:pt idx="1">
                  <c:v>Feb 2024</c:v>
                </c:pt>
                <c:pt idx="2">
                  <c:v>Mar 2024</c:v>
                </c:pt>
                <c:pt idx="3">
                  <c:v>Apr 2024</c:v>
                </c:pt>
                <c:pt idx="4">
                  <c:v>May 2024</c:v>
                </c:pt>
                <c:pt idx="5">
                  <c:v>Jun 2024</c:v>
                </c:pt>
                <c:pt idx="6">
                  <c:v>Jul 2024</c:v>
                </c:pt>
                <c:pt idx="7">
                  <c:v>Aug 2024</c:v>
                </c:pt>
                <c:pt idx="8">
                  <c:v>Sep 2024</c:v>
                </c:pt>
                <c:pt idx="9">
                  <c:v>Oct 2023</c:v>
                </c:pt>
                <c:pt idx="10">
                  <c:v>Nov 2023</c:v>
                </c:pt>
                <c:pt idx="11">
                  <c:v>Dec 2023</c:v>
                </c:pt>
              </c:strCache>
            </c:strRef>
          </c:cat>
          <c:val>
            <c:numRef>
              <c:f>'PV Production'!$G$5:$G$16</c:f>
              <c:numCache>
                <c:formatCode>#,##0;[Red]\(#,##0\);\-</c:formatCode>
                <c:ptCount val="12"/>
                <c:pt idx="0">
                  <c:v>43391.64</c:v>
                </c:pt>
                <c:pt idx="1">
                  <c:v>46834.144</c:v>
                </c:pt>
                <c:pt idx="2">
                  <c:v>61748.868</c:v>
                </c:pt>
                <c:pt idx="3">
                  <c:v>69502.882</c:v>
                </c:pt>
                <c:pt idx="4">
                  <c:v>76926.724</c:v>
                </c:pt>
                <c:pt idx="5">
                  <c:v>76305.766</c:v>
                </c:pt>
                <c:pt idx="6">
                  <c:v>70470.772</c:v>
                </c:pt>
                <c:pt idx="7">
                  <c:v>69633.61</c:v>
                </c:pt>
                <c:pt idx="8">
                  <c:v>60646.06</c:v>
                </c:pt>
                <c:pt idx="9">
                  <c:v>54977.828</c:v>
                </c:pt>
                <c:pt idx="10">
                  <c:v>42779.9</c:v>
                </c:pt>
                <c:pt idx="11">
                  <c:v>36989.32</c:v>
                </c:pt>
              </c:numCache>
            </c:numRef>
          </c:val>
          <c:smooth val="1"/>
        </c:ser>
        <c:dLbls>
          <c:showLegendKey val="0"/>
          <c:showVal val="0"/>
          <c:showCatName val="0"/>
          <c:showSerName val="0"/>
          <c:showPercent val="0"/>
          <c:showBubbleSize val="0"/>
        </c:dLbls>
        <c:marker val="0"/>
        <c:smooth val="1"/>
        <c:axId val="48650112"/>
        <c:axId val="48672768"/>
      </c:line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0;[Red]\(#,##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dd9f2f0-9dc8-47b7-9041-1ddb9b9647c8}"/>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"Installed Cost"</c:f>
              <c:strCache>
                <c:ptCount val="1"/>
                <c:pt idx="0">
                  <c:v>Installed Cost</c:v>
                </c:pt>
              </c:strCache>
            </c:strRef>
          </c:tx>
          <c:invertIfNegative val="0"/>
          <c:dLbls>
            <c:delete val="1"/>
          </c:dLbls>
          <c:cat>
            <c:strRef>
              <c:f>Scenarios!$A$4:$A$8</c:f>
              <c:strCache>
                <c:ptCount val="5"/>
                <c:pt idx="0">
                  <c:v>Minimum</c:v>
                </c:pt>
                <c:pt idx="1">
                  <c:v>Balanced A</c:v>
                </c:pt>
                <c:pt idx="2">
                  <c:v>Balanced B</c:v>
                </c:pt>
                <c:pt idx="3">
                  <c:v>Higher Storage</c:v>
                </c:pt>
                <c:pt idx="4">
                  <c:v>Historical PV Scale</c:v>
                </c:pt>
              </c:strCache>
            </c:strRef>
          </c:cat>
          <c:val>
            <c:numRef>
              <c:f>Scenarios!$M$4:$M$8</c:f>
              <c:numCache>
                <c:formatCode>"$"#,##0;[Red]\("$"#,##0\);\-</c:formatCode>
                <c:ptCount val="5"/>
                <c:pt idx="0">
                  <c:v>1074972.3</c:v>
                </c:pt>
                <c:pt idx="1">
                  <c:v>1086670.5</c:v>
                </c:pt>
                <c:pt idx="2">
                  <c:v>1240065.75</c:v>
                </c:pt>
                <c:pt idx="3">
                  <c:v>1393461</c:v>
                </c:pt>
                <c:pt idx="4">
                  <c:v>1748994</c:v>
                </c:pt>
              </c:numCache>
            </c:numRef>
          </c:val>
        </c:ser>
        <c:ser>
          <c:idx val="1"/>
          <c:order val="1"/>
          <c:tx>
            <c:strRef>
              <c:f>"Year-1 Savings"</c:f>
              <c:strCache>
                <c:ptCount val="1"/>
                <c:pt idx="0">
                  <c:v>Year-1 Savings</c:v>
                </c:pt>
              </c:strCache>
            </c:strRef>
          </c:tx>
          <c:invertIfNegative val="0"/>
          <c:dLbls>
            <c:delete val="1"/>
          </c:dLbls>
          <c:cat>
            <c:strRef>
              <c:f>Scenarios!$A$4:$A$8</c:f>
              <c:strCache>
                <c:ptCount val="5"/>
                <c:pt idx="0">
                  <c:v>Minimum</c:v>
                </c:pt>
                <c:pt idx="1">
                  <c:v>Balanced A</c:v>
                </c:pt>
                <c:pt idx="2">
                  <c:v>Balanced B</c:v>
                </c:pt>
                <c:pt idx="3">
                  <c:v>Higher Storage</c:v>
                </c:pt>
                <c:pt idx="4">
                  <c:v>Historical PV Scale</c:v>
                </c:pt>
              </c:strCache>
            </c:strRef>
          </c:cat>
          <c:val>
            <c:numRef>
              <c:f>Scenarios!$N$4:$N$8</c:f>
              <c:numCache>
                <c:formatCode>"$"#,##0;[Red]\("$"#,##0\);\-</c:formatCode>
                <c:ptCount val="5"/>
                <c:pt idx="0">
                  <c:v>100318.068908283</c:v>
                </c:pt>
                <c:pt idx="1">
                  <c:v>101051.387477474</c:v>
                </c:pt>
                <c:pt idx="2">
                  <c:v>102579.134496622</c:v>
                </c:pt>
                <c:pt idx="3">
                  <c:v>104048.731552528</c:v>
                </c:pt>
                <c:pt idx="4">
                  <c:v>109696.205306619</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quot;$&quot;#,##0;[Red]\(&quot;$&quot;#,##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449a962-8bad-40e3-b2fb-1a63c86bdaf3}"/>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ENERGY CONSUMPTION MIX</a:t>
            </a:r>
          </a:p>
        </c:rich>
      </c:tx>
      <c:layout/>
      <c:overlay val="0"/>
    </c:title>
    <c:autoTitleDeleted val="0"/>
    <c:plotArea>
      <c:layout/>
      <c:pieChart>
        <c:varyColors val="1"/>
        <c:ser>
          <c:idx val="0"/>
          <c:order val="0"/>
          <c:tx>
            <c:strRef>
              <c:f>"Series 1"</c:f>
              <c:strCache>
                <c:ptCount val="1"/>
                <c:pt idx="0">
                  <c:v>Series 1</c:v>
                </c:pt>
              </c:strCache>
            </c:strRef>
          </c:tx>
          <c:explosion val="0"/>
          <c:dPt>
            <c:idx val="0"/>
            <c:bubble3D val="0"/>
          </c:dPt>
          <c:dPt>
            <c:idx val="1"/>
            <c:bubble3D val="0"/>
          </c:dPt>
          <c:dLbls>
            <c:delete val="1"/>
          </c:dLbls>
          <c:cat>
            <c:strRef>
              <c:f>'1PV Proposal'!$G$5:$G$6</c:f>
              <c:strCache>
                <c:ptCount val="2"/>
                <c:pt idx="0">
                  <c:v>Solar PV + PV-Charged ESS Served Load</c:v>
                </c:pt>
                <c:pt idx="1">
                  <c:v>Utility-Supplied Load</c:v>
                </c:pt>
              </c:strCache>
            </c:strRef>
          </c:cat>
          <c:val>
            <c:numRef>
              <c:f>'1PV Proposal'!$H$5:$H$6</c:f>
              <c:numCache>
                <c:formatCode>0_ </c:formatCode>
                <c:ptCount val="2"/>
                <c:pt idx="0">
                  <c:v>623663.608317886</c:v>
                </c:pt>
                <c:pt idx="1">
                  <c:v>85837.3916821138</c:v>
                </c:pt>
              </c:numCache>
            </c:numRef>
          </c:val>
        </c:ser>
        <c:dLbls>
          <c:showLegendKey val="0"/>
          <c:showVal val="0"/>
          <c:showCatName val="0"/>
          <c:showSerName val="0"/>
          <c:showPercent val="0"/>
          <c:showBubbleSize val="0"/>
          <c:showLeaderLines val="1"/>
        </c:dLbls>
        <c:firstSliceAng val="0"/>
      </c:pieChart>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3f835eb-3410-4be2-b0f0-4ae913578336}"/>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"Energy Use (kWh)"</c:f>
              <c:strCache>
                <c:ptCount val="1"/>
                <c:pt idx="0">
                  <c:v>Energy Use (kWh)</c:v>
                </c:pt>
              </c:strCache>
            </c:strRef>
          </c:tx>
          <c:invertIfNegative val="0"/>
          <c:dLbls>
            <c:delete val="1"/>
          </c:dLbls>
          <c:cat>
            <c:strRef>
              <c:f>'1PV Proposal'!$A$13:$A$24</c:f>
              <c:strCache>
                <c:ptCount val="12"/>
                <c:pt idx="0">
                  <c:v>Jan 2024</c:v>
                </c:pt>
                <c:pt idx="1">
                  <c:v>Feb 2024</c:v>
                </c:pt>
                <c:pt idx="2">
                  <c:v>Mar 2024</c:v>
                </c:pt>
                <c:pt idx="3">
                  <c:v>Apr 2024</c:v>
                </c:pt>
                <c:pt idx="4">
                  <c:v>May 2024</c:v>
                </c:pt>
                <c:pt idx="5">
                  <c:v>Jun 2024</c:v>
                </c:pt>
                <c:pt idx="6">
                  <c:v>Jul 2024</c:v>
                </c:pt>
                <c:pt idx="7">
                  <c:v>Aug 2024</c:v>
                </c:pt>
                <c:pt idx="8">
                  <c:v>Sep 2024</c:v>
                </c:pt>
                <c:pt idx="9">
                  <c:v>Oct 2023</c:v>
                </c:pt>
                <c:pt idx="10">
                  <c:v>Nov 2023</c:v>
                </c:pt>
                <c:pt idx="11">
                  <c:v>Dec 2023</c:v>
                </c:pt>
              </c:strCache>
            </c:strRef>
          </c:cat>
          <c:val>
            <c:numRef>
              <c:f>'1PV Proposal'!$B$13:$B$24</c:f>
              <c:numCache>
                <c:formatCode>General</c:formatCode>
                <c:ptCount val="12"/>
                <c:pt idx="0">
                  <c:v>54844</c:v>
                </c:pt>
                <c:pt idx="1">
                  <c:v>48926</c:v>
                </c:pt>
                <c:pt idx="2">
                  <c:v>52449</c:v>
                </c:pt>
                <c:pt idx="3">
                  <c:v>40752</c:v>
                </c:pt>
                <c:pt idx="4">
                  <c:v>51220</c:v>
                </c:pt>
                <c:pt idx="5">
                  <c:v>50744</c:v>
                </c:pt>
                <c:pt idx="6">
                  <c:v>81109</c:v>
                </c:pt>
                <c:pt idx="7">
                  <c:v>80723</c:v>
                </c:pt>
                <c:pt idx="8">
                  <c:v>84369</c:v>
                </c:pt>
                <c:pt idx="9">
                  <c:v>50017</c:v>
                </c:pt>
                <c:pt idx="10">
                  <c:v>61096</c:v>
                </c:pt>
                <c:pt idx="11">
                  <c:v>53252</c:v>
                </c:pt>
              </c:numCache>
            </c:numRef>
          </c:val>
        </c:ser>
        <c:ser>
          <c:idx val="1"/>
          <c:order val="1"/>
          <c:tx>
            <c:strRef>
              <c:f>"Solar Generation (kWh)"</c:f>
              <c:strCache>
                <c:ptCount val="1"/>
                <c:pt idx="0">
                  <c:v>Solar Generation (kWh)</c:v>
                </c:pt>
              </c:strCache>
            </c:strRef>
          </c:tx>
          <c:invertIfNegative val="0"/>
          <c:dLbls>
            <c:delete val="1"/>
          </c:dLbls>
          <c:cat>
            <c:strRef>
              <c:f>'1PV Proposal'!$A$13:$A$24</c:f>
              <c:strCache>
                <c:ptCount val="12"/>
                <c:pt idx="0">
                  <c:v>Jan 2024</c:v>
                </c:pt>
                <c:pt idx="1">
                  <c:v>Feb 2024</c:v>
                </c:pt>
                <c:pt idx="2">
                  <c:v>Mar 2024</c:v>
                </c:pt>
                <c:pt idx="3">
                  <c:v>Apr 2024</c:v>
                </c:pt>
                <c:pt idx="4">
                  <c:v>May 2024</c:v>
                </c:pt>
                <c:pt idx="5">
                  <c:v>Jun 2024</c:v>
                </c:pt>
                <c:pt idx="6">
                  <c:v>Jul 2024</c:v>
                </c:pt>
                <c:pt idx="7">
                  <c:v>Aug 2024</c:v>
                </c:pt>
                <c:pt idx="8">
                  <c:v>Sep 2024</c:v>
                </c:pt>
                <c:pt idx="9">
                  <c:v>Oct 2023</c:v>
                </c:pt>
                <c:pt idx="10">
                  <c:v>Nov 2023</c:v>
                </c:pt>
                <c:pt idx="11">
                  <c:v>Dec 2023</c:v>
                </c:pt>
              </c:strCache>
            </c:strRef>
          </c:cat>
          <c:val>
            <c:numRef>
              <c:f>'1PV Proposal'!$C$13:$C$24</c:f>
              <c:numCache>
                <c:formatCode>General</c:formatCode>
                <c:ptCount val="12"/>
                <c:pt idx="0">
                  <c:v>43391.64</c:v>
                </c:pt>
                <c:pt idx="1">
                  <c:v>46834.144</c:v>
                </c:pt>
                <c:pt idx="2">
                  <c:v>61748.868</c:v>
                </c:pt>
                <c:pt idx="3">
                  <c:v>69502.882</c:v>
                </c:pt>
                <c:pt idx="4">
                  <c:v>76926.724</c:v>
                </c:pt>
                <c:pt idx="5">
                  <c:v>76305.766</c:v>
                </c:pt>
                <c:pt idx="6">
                  <c:v>70470.772</c:v>
                </c:pt>
                <c:pt idx="7">
                  <c:v>69633.61</c:v>
                </c:pt>
                <c:pt idx="8">
                  <c:v>60646.06</c:v>
                </c:pt>
                <c:pt idx="9">
                  <c:v>54977.828</c:v>
                </c:pt>
                <c:pt idx="10">
                  <c:v>42779.9</c:v>
                </c:pt>
                <c:pt idx="11">
                  <c:v>36989.32</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c1d371d-7bc8-4bc9-a0bf-8b9be21be877}"/>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"Energy Use (kWh)"</c:f>
              <c:strCache>
                <c:ptCount val="1"/>
                <c:pt idx="0">
                  <c:v>Energy Use (kWh)</c:v>
                </c:pt>
              </c:strCache>
            </c:strRef>
          </c:tx>
          <c:marker>
            <c:symbol val="none"/>
          </c:marker>
          <c:dLbls>
            <c:delete val="1"/>
          </c:dLbls>
          <c:cat>
            <c:strRef>
              <c:f>'1PV Proposal'!$A$13:$A$24</c:f>
              <c:strCache>
                <c:ptCount val="12"/>
                <c:pt idx="0">
                  <c:v>Jan 2024</c:v>
                </c:pt>
                <c:pt idx="1">
                  <c:v>Feb 2024</c:v>
                </c:pt>
                <c:pt idx="2">
                  <c:v>Mar 2024</c:v>
                </c:pt>
                <c:pt idx="3">
                  <c:v>Apr 2024</c:v>
                </c:pt>
                <c:pt idx="4">
                  <c:v>May 2024</c:v>
                </c:pt>
                <c:pt idx="5">
                  <c:v>Jun 2024</c:v>
                </c:pt>
                <c:pt idx="6">
                  <c:v>Jul 2024</c:v>
                </c:pt>
                <c:pt idx="7">
                  <c:v>Aug 2024</c:v>
                </c:pt>
                <c:pt idx="8">
                  <c:v>Sep 2024</c:v>
                </c:pt>
                <c:pt idx="9">
                  <c:v>Oct 2023</c:v>
                </c:pt>
                <c:pt idx="10">
                  <c:v>Nov 2023</c:v>
                </c:pt>
                <c:pt idx="11">
                  <c:v>Dec 2023</c:v>
                </c:pt>
              </c:strCache>
            </c:strRef>
          </c:cat>
          <c:val>
            <c:numRef>
              <c:f>'1PV Proposal'!$B$13:$B$24</c:f>
              <c:numCache>
                <c:formatCode>General</c:formatCode>
                <c:ptCount val="12"/>
                <c:pt idx="0">
                  <c:v>54844</c:v>
                </c:pt>
                <c:pt idx="1">
                  <c:v>48926</c:v>
                </c:pt>
                <c:pt idx="2">
                  <c:v>52449</c:v>
                </c:pt>
                <c:pt idx="3">
                  <c:v>40752</c:v>
                </c:pt>
                <c:pt idx="4">
                  <c:v>51220</c:v>
                </c:pt>
                <c:pt idx="5">
                  <c:v>50744</c:v>
                </c:pt>
                <c:pt idx="6">
                  <c:v>81109</c:v>
                </c:pt>
                <c:pt idx="7">
                  <c:v>80723</c:v>
                </c:pt>
                <c:pt idx="8">
                  <c:v>84369</c:v>
                </c:pt>
                <c:pt idx="9">
                  <c:v>50017</c:v>
                </c:pt>
                <c:pt idx="10">
                  <c:v>61096</c:v>
                </c:pt>
                <c:pt idx="11">
                  <c:v>53252</c:v>
                </c:pt>
              </c:numCache>
            </c:numRef>
          </c:val>
          <c:smooth val="1"/>
        </c:ser>
        <c:ser>
          <c:idx val="1"/>
          <c:order val="1"/>
          <c:tx>
            <c:strRef>
              <c:f>"Solar Generation (kWh)"</c:f>
              <c:strCache>
                <c:ptCount val="1"/>
                <c:pt idx="0">
                  <c:v>Solar Generation (kWh)</c:v>
                </c:pt>
              </c:strCache>
            </c:strRef>
          </c:tx>
          <c:marker>
            <c:symbol val="none"/>
          </c:marker>
          <c:dLbls>
            <c:delete val="1"/>
          </c:dLbls>
          <c:cat>
            <c:strRef>
              <c:f>'1PV Proposal'!$A$13:$A$24</c:f>
              <c:strCache>
                <c:ptCount val="12"/>
                <c:pt idx="0">
                  <c:v>Jan 2024</c:v>
                </c:pt>
                <c:pt idx="1">
                  <c:v>Feb 2024</c:v>
                </c:pt>
                <c:pt idx="2">
                  <c:v>Mar 2024</c:v>
                </c:pt>
                <c:pt idx="3">
                  <c:v>Apr 2024</c:v>
                </c:pt>
                <c:pt idx="4">
                  <c:v>May 2024</c:v>
                </c:pt>
                <c:pt idx="5">
                  <c:v>Jun 2024</c:v>
                </c:pt>
                <c:pt idx="6">
                  <c:v>Jul 2024</c:v>
                </c:pt>
                <c:pt idx="7">
                  <c:v>Aug 2024</c:v>
                </c:pt>
                <c:pt idx="8">
                  <c:v>Sep 2024</c:v>
                </c:pt>
                <c:pt idx="9">
                  <c:v>Oct 2023</c:v>
                </c:pt>
                <c:pt idx="10">
                  <c:v>Nov 2023</c:v>
                </c:pt>
                <c:pt idx="11">
                  <c:v>Dec 2023</c:v>
                </c:pt>
              </c:strCache>
            </c:strRef>
          </c:cat>
          <c:val>
            <c:numRef>
              <c:f>'1PV Proposal'!$C$13:$C$24</c:f>
              <c:numCache>
                <c:formatCode>General</c:formatCode>
                <c:ptCount val="12"/>
                <c:pt idx="0">
                  <c:v>43391.64</c:v>
                </c:pt>
                <c:pt idx="1">
                  <c:v>46834.144</c:v>
                </c:pt>
                <c:pt idx="2">
                  <c:v>61748.868</c:v>
                </c:pt>
                <c:pt idx="3">
                  <c:v>69502.882</c:v>
                </c:pt>
                <c:pt idx="4">
                  <c:v>76926.724</c:v>
                </c:pt>
                <c:pt idx="5">
                  <c:v>76305.766</c:v>
                </c:pt>
                <c:pt idx="6">
                  <c:v>70470.772</c:v>
                </c:pt>
                <c:pt idx="7">
                  <c:v>69633.61</c:v>
                </c:pt>
                <c:pt idx="8">
                  <c:v>60646.06</c:v>
                </c:pt>
                <c:pt idx="9">
                  <c:v>54977.828</c:v>
                </c:pt>
                <c:pt idx="10">
                  <c:v>42779.9</c:v>
                </c:pt>
                <c:pt idx="11">
                  <c:v>36989.32</c:v>
                </c:pt>
              </c:numCache>
            </c:numRef>
          </c:val>
          <c:smooth val="1"/>
        </c:ser>
        <c:dLbls>
          <c:showLegendKey val="0"/>
          <c:showVal val="0"/>
          <c:showCatName val="0"/>
          <c:showSerName val="0"/>
          <c:showPercent val="0"/>
          <c:showBubbleSize val="0"/>
        </c:dLbls>
        <c:marker val="0"/>
        <c:smooth val="1"/>
        <c:axId val="48650112"/>
        <c:axId val="48672768"/>
      </c:line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2e53540-4b97-4d1e-824a-b79ac35a2762}"/>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"Days Per Year"</c:f>
              <c:strCache>
                <c:ptCount val="1"/>
                <c:pt idx="0">
                  <c:v>Days Per Year</c:v>
                </c:pt>
              </c:strCache>
            </c:strRef>
          </c:tx>
          <c:invertIfNegative val="0"/>
          <c:dLbls>
            <c:delete val="1"/>
          </c:dLbls>
          <c:cat>
            <c:strRef>
              <c:f>'2ESS Proposal'!$G$4:$G$9</c:f>
              <c:strCache>
                <c:ptCount val="6"/>
                <c:pt idx="0">
                  <c:v>0–20%</c:v>
                </c:pt>
                <c:pt idx="1">
                  <c:v>20–40%</c:v>
                </c:pt>
                <c:pt idx="2">
                  <c:v>40–60%</c:v>
                </c:pt>
                <c:pt idx="3">
                  <c:v>60–80%</c:v>
                </c:pt>
                <c:pt idx="4">
                  <c:v>80–100%</c:v>
                </c:pt>
                <c:pt idx="5">
                  <c:v>&gt;100%</c:v>
                </c:pt>
              </c:strCache>
            </c:strRef>
          </c:cat>
          <c:val>
            <c:numRef>
              <c:f>'2ESS Proposal'!$H$4:$H$9</c:f>
              <c:numCache>
                <c:formatCode>General</c:formatCode>
                <c:ptCount val="6"/>
                <c:pt idx="0">
                  <c:v>274</c:v>
                </c:pt>
                <c:pt idx="1">
                  <c:v>63</c:v>
                </c:pt>
                <c:pt idx="2">
                  <c:v>29</c:v>
                </c:pt>
                <c:pt idx="3">
                  <c:v>0</c:v>
                </c:pt>
                <c:pt idx="4">
                  <c:v>0</c:v>
                </c:pt>
                <c:pt idx="5">
                  <c:v>0</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92067326-55c9-45ee-90f4-a67384d3cc12}"/>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"Avoided Utility Cost"</c:f>
              <c:strCache>
                <c:ptCount val="1"/>
                <c:pt idx="0">
                  <c:v>Avoided Utility Cost</c:v>
                </c:pt>
              </c:strCache>
            </c:strRef>
          </c:tx>
          <c:marker>
            <c:symbol val="none"/>
          </c:marker>
          <c:dLbls>
            <c:delete val="1"/>
          </c:dLbls>
          <c:cat>
            <c:numRef>
              <c:f>'5Cash Purchase'!$B$17:$AF$17</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cat>
          <c:val>
            <c:numRef>
              <c:f>'5Cash Purchase'!$B$26:$AF$26</c:f>
              <c:numCache>
                <c:formatCode>"$"#,##0;[Red]\("$"#,##0\);\-</c:formatCode>
                <c:ptCount val="31"/>
                <c:pt idx="0">
                  <c:v>0</c:v>
                </c:pt>
                <c:pt idx="1">
                  <c:v>295334.0733</c:v>
                </c:pt>
                <c:pt idx="2">
                  <c:v>599528.168799</c:v>
                </c:pt>
                <c:pt idx="3">
                  <c:v>912848.08716297</c:v>
                </c:pt>
                <c:pt idx="4">
                  <c:v>1235567.60307786</c:v>
                </c:pt>
                <c:pt idx="5">
                  <c:v>1567968.70447019</c:v>
                </c:pt>
                <c:pt idx="6">
                  <c:v>1910341.8389043</c:v>
                </c:pt>
                <c:pt idx="7">
                  <c:v>2262986.16737143</c:v>
                </c:pt>
                <c:pt idx="8">
                  <c:v>2626209.82569257</c:v>
                </c:pt>
                <c:pt idx="9">
                  <c:v>3000330.19376335</c:v>
                </c:pt>
                <c:pt idx="10">
                  <c:v>3385674.17287625</c:v>
                </c:pt>
                <c:pt idx="11">
                  <c:v>3782578.47136254</c:v>
                </c:pt>
                <c:pt idx="12">
                  <c:v>4191389.89880341</c:v>
                </c:pt>
                <c:pt idx="13">
                  <c:v>4612465.66906752</c:v>
                </c:pt>
                <c:pt idx="14">
                  <c:v>5046173.71243954</c:v>
                </c:pt>
                <c:pt idx="15">
                  <c:v>5492892.99711273</c:v>
                </c:pt>
                <c:pt idx="16">
                  <c:v>5953013.86032611</c:v>
                </c:pt>
                <c:pt idx="17">
                  <c:v>6426938.34943589</c:v>
                </c:pt>
                <c:pt idx="18">
                  <c:v>6915080.57321897</c:v>
                </c:pt>
                <c:pt idx="19">
                  <c:v>7417867.06371554</c:v>
                </c:pt>
                <c:pt idx="20">
                  <c:v>7935737.14892701</c:v>
                </c:pt>
                <c:pt idx="21">
                  <c:v>8469143.33669482</c:v>
                </c:pt>
                <c:pt idx="22">
                  <c:v>9018551.71009566</c:v>
                </c:pt>
                <c:pt idx="23">
                  <c:v>9584442.33469853</c:v>
                </c:pt>
                <c:pt idx="24">
                  <c:v>10167309.6780395</c:v>
                </c:pt>
                <c:pt idx="25">
                  <c:v>10767663.0416807</c:v>
                </c:pt>
                <c:pt idx="26">
                  <c:v>11386027.0062311</c:v>
                </c:pt>
                <c:pt idx="27">
                  <c:v>12022941.889718</c:v>
                </c:pt>
                <c:pt idx="28">
                  <c:v>12678964.2197096</c:v>
                </c:pt>
                <c:pt idx="29">
                  <c:v>13354667.2196009</c:v>
                </c:pt>
                <c:pt idx="30">
                  <c:v>14050641.3094889</c:v>
                </c:pt>
              </c:numCache>
            </c:numRef>
          </c:val>
          <c:smooth val="1"/>
        </c:ser>
        <c:ser>
          <c:idx val="1"/>
          <c:order val="1"/>
          <c:tx>
            <c:strRef>
              <c:f>"Cash Purchase"</c:f>
              <c:strCache>
                <c:ptCount val="1"/>
                <c:pt idx="0">
                  <c:v>Cash Purchase</c:v>
                </c:pt>
              </c:strCache>
            </c:strRef>
          </c:tx>
          <c:marker>
            <c:symbol val="none"/>
          </c:marker>
          <c:dLbls>
            <c:delete val="1"/>
          </c:dLbls>
          <c:cat>
            <c:numRef>
              <c:f>'5Cash Purchase'!$B$17:$AF$17</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cat>
          <c:val>
            <c:numRef>
              <c:f>'5Cash Purchase'!$B$25:$AF$25</c:f>
              <c:numCache>
                <c:formatCode>"$"#,##0;[Red]\("$"#,##0\);\-</c:formatCode>
                <c:ptCount val="31"/>
                <c:pt idx="0">
                  <c:v>1074972.3</c:v>
                </c:pt>
                <c:pt idx="1">
                  <c:v>737909.304695016</c:v>
                </c:pt>
                <c:pt idx="2">
                  <c:v>870512.442426533</c:v>
                </c:pt>
                <c:pt idx="3">
                  <c:v>1034535.74575877</c:v>
                </c:pt>
                <c:pt idx="4">
                  <c:v>1220164.86517401</c:v>
                </c:pt>
                <c:pt idx="5">
                  <c:v>1412583.26723145</c:v>
                </c:pt>
                <c:pt idx="6">
                  <c:v>1623275.62312513</c:v>
                </c:pt>
                <c:pt idx="7">
                  <c:v>1852464.17778692</c:v>
                </c:pt>
                <c:pt idx="8">
                  <c:v>2089108.9571948</c:v>
                </c:pt>
                <c:pt idx="9">
                  <c:v>2333446.28125316</c:v>
                </c:pt>
                <c:pt idx="10">
                  <c:v>2585719.83436111</c:v>
                </c:pt>
                <c:pt idx="11">
                  <c:v>2846180.89232909</c:v>
                </c:pt>
                <c:pt idx="12">
                  <c:v>3115088.55623321</c:v>
                </c:pt>
                <c:pt idx="13">
                  <c:v>3392709.99341808</c:v>
                </c:pt>
                <c:pt idx="14">
                  <c:v>3679320.6858657</c:v>
                </c:pt>
                <c:pt idx="15">
                  <c:v>3975204.68615429</c:v>
                </c:pt>
                <c:pt idx="16">
                  <c:v>4280654.88123767</c:v>
                </c:pt>
                <c:pt idx="17">
                  <c:v>4595973.26428302</c:v>
                </c:pt>
                <c:pt idx="18">
                  <c:v>4921471.2148119</c:v>
                </c:pt>
                <c:pt idx="19">
                  <c:v>5257469.78739682</c:v>
                </c:pt>
                <c:pt idx="20">
                  <c:v>5604300.00917328</c:v>
                </c:pt>
                <c:pt idx="21">
                  <c:v>5962303.18643525</c:v>
                </c:pt>
                <c:pt idx="22">
                  <c:v>6331831.2205899</c:v>
                </c:pt>
                <c:pt idx="23">
                  <c:v>6713246.93375587</c:v>
                </c:pt>
                <c:pt idx="24">
                  <c:v>7106924.40429809</c:v>
                </c:pt>
                <c:pt idx="25">
                  <c:v>7513249.3126008</c:v>
                </c:pt>
                <c:pt idx="26">
                  <c:v>7932619.29738971</c:v>
                </c:pt>
                <c:pt idx="27">
                  <c:v>8365444.32292361</c:v>
                </c:pt>
                <c:pt idx="28">
                  <c:v>8812147.05738539</c:v>
                </c:pt>
                <c:pt idx="29">
                  <c:v>9273163.26281248</c:v>
                </c:pt>
                <c:pt idx="30">
                  <c:v>9748942.196917</c:v>
                </c:pt>
              </c:numCache>
            </c:numRef>
          </c:val>
          <c:smooth val="1"/>
        </c:ser>
        <c:dLbls>
          <c:showLegendKey val="0"/>
          <c:showVal val="0"/>
          <c:showCatName val="0"/>
          <c:showSerName val="0"/>
          <c:showPercent val="0"/>
          <c:showBubbleSize val="0"/>
        </c:dLbls>
        <c:marker val="0"/>
        <c:smooth val="1"/>
        <c:axId val="48650112"/>
        <c:axId val="48672768"/>
      </c:line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quot;$&quot;#,##0;[Red]\(&quot;$&quot;#,##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50ea8f2-2e19-469b-9f90-90fac9a9b09e}"/>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19</xdr:row>
      <xdr:rowOff>0</xdr:rowOff>
    </xdr:from>
    <xdr:to>
      <xdr:col>10</xdr:col>
      <xdr:colOff>0</xdr:colOff>
      <xdr:row>36</xdr:row>
      <xdr:rowOff>0</xdr:rowOff>
    </xdr:to>
    <xdr:graphicFrame>
      <xdr:nvGraphicFramePr>
        <xdr:cNvPr id="2" name="Chart"/>
        <xdr:cNvGraphicFramePr/>
      </xdr:nvGraphicFramePr>
      <xdr:xfrm>
        <a:off x="0" y="7828280"/>
        <a:ext cx="13299440" cy="3627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19</xdr:row>
      <xdr:rowOff>0</xdr:rowOff>
    </xdr:from>
    <xdr:to>
      <xdr:col>22</xdr:col>
      <xdr:colOff>0</xdr:colOff>
      <xdr:row>36</xdr:row>
      <xdr:rowOff>0</xdr:rowOff>
    </xdr:to>
    <xdr:graphicFrame>
      <xdr:nvGraphicFramePr>
        <xdr:cNvPr id="3" name="Chart"/>
        <xdr:cNvGraphicFramePr/>
      </xdr:nvGraphicFramePr>
      <xdr:xfrm>
        <a:off x="13299440" y="7828280"/>
        <a:ext cx="21590000" cy="3627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19</xdr:row>
      <xdr:rowOff>0</xdr:rowOff>
    </xdr:from>
    <xdr:to>
      <xdr:col>12</xdr:col>
      <xdr:colOff>0</xdr:colOff>
      <xdr:row>36</xdr:row>
      <xdr:rowOff>0</xdr:rowOff>
    </xdr:to>
    <xdr:graphicFrame>
      <xdr:nvGraphicFramePr>
        <xdr:cNvPr id="2" name="Chart"/>
        <xdr:cNvGraphicFramePr/>
      </xdr:nvGraphicFramePr>
      <xdr:xfrm>
        <a:off x="0" y="4386580"/>
        <a:ext cx="21590000" cy="3627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10</xdr:row>
      <xdr:rowOff>0</xdr:rowOff>
    </xdr:from>
    <xdr:to>
      <xdr:col>10</xdr:col>
      <xdr:colOff>0</xdr:colOff>
      <xdr:row>28</xdr:row>
      <xdr:rowOff>0</xdr:rowOff>
    </xdr:to>
    <xdr:graphicFrame>
      <xdr:nvGraphicFramePr>
        <xdr:cNvPr id="2" name="Chart"/>
        <xdr:cNvGraphicFramePr/>
      </xdr:nvGraphicFramePr>
      <xdr:xfrm>
        <a:off x="0" y="2433320"/>
        <a:ext cx="14076680" cy="3840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6</xdr:col>
      <xdr:colOff>0</xdr:colOff>
      <xdr:row>9</xdr:row>
      <xdr:rowOff>0</xdr:rowOff>
    </xdr:from>
    <xdr:to>
      <xdr:col>10</xdr:col>
      <xdr:colOff>0</xdr:colOff>
      <xdr:row>22</xdr:row>
      <xdr:rowOff>0</xdr:rowOff>
    </xdr:to>
    <xdr:graphicFrame>
      <xdr:nvGraphicFramePr>
        <xdr:cNvPr id="2" name="Chart"/>
        <xdr:cNvGraphicFramePr/>
      </xdr:nvGraphicFramePr>
      <xdr:xfrm>
        <a:off x="11226800" y="3746500"/>
        <a:ext cx="5527040" cy="3017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0</xdr:rowOff>
    </xdr:from>
    <xdr:to>
      <xdr:col>6</xdr:col>
      <xdr:colOff>0</xdr:colOff>
      <xdr:row>43</xdr:row>
      <xdr:rowOff>0</xdr:rowOff>
    </xdr:to>
    <xdr:graphicFrame>
      <xdr:nvGraphicFramePr>
        <xdr:cNvPr id="3" name="Chart"/>
        <xdr:cNvGraphicFramePr/>
      </xdr:nvGraphicFramePr>
      <xdr:xfrm>
        <a:off x="0" y="7625080"/>
        <a:ext cx="11226800" cy="3627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26</xdr:row>
      <xdr:rowOff>0</xdr:rowOff>
    </xdr:from>
    <xdr:to>
      <xdr:col>12</xdr:col>
      <xdr:colOff>0</xdr:colOff>
      <xdr:row>43</xdr:row>
      <xdr:rowOff>0</xdr:rowOff>
    </xdr:to>
    <xdr:graphicFrame>
      <xdr:nvGraphicFramePr>
        <xdr:cNvPr id="4" name="Chart"/>
        <xdr:cNvGraphicFramePr/>
      </xdr:nvGraphicFramePr>
      <xdr:xfrm>
        <a:off x="11226800" y="7625080"/>
        <a:ext cx="8290560" cy="36271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6</xdr:col>
      <xdr:colOff>0</xdr:colOff>
      <xdr:row>9</xdr:row>
      <xdr:rowOff>0</xdr:rowOff>
    </xdr:from>
    <xdr:to>
      <xdr:col>12</xdr:col>
      <xdr:colOff>0</xdr:colOff>
      <xdr:row>22</xdr:row>
      <xdr:rowOff>0</xdr:rowOff>
    </xdr:to>
    <xdr:graphicFrame>
      <xdr:nvGraphicFramePr>
        <xdr:cNvPr id="2" name="Chart"/>
        <xdr:cNvGraphicFramePr/>
      </xdr:nvGraphicFramePr>
      <xdr:xfrm>
        <a:off x="11831320" y="3530600"/>
        <a:ext cx="8290560" cy="36703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30</xdr:row>
      <xdr:rowOff>0</xdr:rowOff>
    </xdr:from>
    <xdr:to>
      <xdr:col>17</xdr:col>
      <xdr:colOff>0</xdr:colOff>
      <xdr:row>48</xdr:row>
      <xdr:rowOff>0</xdr:rowOff>
    </xdr:to>
    <xdr:graphicFrame>
      <xdr:nvGraphicFramePr>
        <xdr:cNvPr id="2" name="Chart"/>
        <xdr:cNvGraphicFramePr/>
      </xdr:nvGraphicFramePr>
      <xdr:xfrm>
        <a:off x="0" y="7599680"/>
        <a:ext cx="17358360" cy="3840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7"/>
  <sheetViews>
    <sheetView tabSelected="1" zoomScale="130" zoomScaleNormal="130" workbookViewId="0">
      <selection activeCell="A2" sqref="A2:AC2"/>
    </sheetView>
  </sheetViews>
  <sheetFormatPr defaultColWidth="9" defaultRowHeight="16.8"/>
  <cols>
    <col min="1" max="1" width="14" customWidth="1"/>
    <col min="2" max="3" width="13" customWidth="1"/>
    <col min="4" max="4" width="8" customWidth="1"/>
    <col min="5" max="6" width="15" customWidth="1"/>
    <col min="7" max="24" width="14" customWidth="1"/>
    <col min="25" max="27" width="17" customWidth="1"/>
    <col min="28" max="28" width="46" customWidth="1"/>
    <col min="29" max="29" width="28" customWidth="1"/>
  </cols>
  <sheetData>
    <row r="1" ht="22" spans="1:29">
      <c r="A1" s="131" t="s">
        <v>0</v>
      </c>
      <c r="B1" s="131"/>
      <c r="C1" s="131"/>
      <c r="D1" s="131"/>
      <c r="E1" s="131"/>
      <c r="F1" s="131"/>
      <c r="G1" s="131"/>
      <c r="H1" s="131"/>
      <c r="I1" s="131"/>
      <c r="J1" s="131"/>
      <c r="K1" s="131"/>
      <c r="L1" s="131"/>
      <c r="M1" s="131"/>
      <c r="N1" s="131"/>
      <c r="O1" s="131"/>
      <c r="P1" s="131"/>
      <c r="Q1" s="131"/>
      <c r="R1" s="131"/>
      <c r="S1" s="131"/>
      <c r="T1" s="131"/>
      <c r="U1" s="131"/>
      <c r="V1" s="131"/>
      <c r="W1" s="131"/>
      <c r="X1" s="131"/>
      <c r="Y1" s="131"/>
      <c r="Z1" s="131"/>
      <c r="AA1" s="131"/>
      <c r="AB1" s="131"/>
      <c r="AC1" s="131"/>
    </row>
    <row r="2" spans="1:29">
      <c r="A2" s="100" t="s">
        <v>1</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row>
    <row r="3" spans="1:29">
      <c r="A3" s="3"/>
      <c r="B3" s="3"/>
      <c r="C3" s="3"/>
      <c r="D3" s="3"/>
      <c r="E3" s="3"/>
      <c r="F3" s="3"/>
      <c r="G3" s="3"/>
      <c r="H3" s="3"/>
      <c r="I3" s="3"/>
      <c r="J3" s="3"/>
      <c r="K3" s="3"/>
      <c r="L3" s="3"/>
      <c r="M3" s="3"/>
      <c r="N3" s="3"/>
      <c r="O3" s="3"/>
      <c r="P3" s="3"/>
      <c r="Q3" s="3"/>
      <c r="R3" s="3"/>
      <c r="S3" s="3"/>
      <c r="T3" s="3"/>
      <c r="U3" s="3"/>
      <c r="V3" s="3"/>
      <c r="W3" s="3"/>
      <c r="X3" s="3"/>
      <c r="Y3" s="3"/>
      <c r="Z3" s="3"/>
      <c r="AA3" s="3"/>
      <c r="AB3" s="3"/>
      <c r="AC3" s="3"/>
    </row>
    <row r="4" ht="51" spans="1:29">
      <c r="A4" s="121" t="s">
        <v>2</v>
      </c>
      <c r="B4" s="122" t="s">
        <v>3</v>
      </c>
      <c r="C4" s="122" t="s">
        <v>4</v>
      </c>
      <c r="D4" s="122" t="s">
        <v>5</v>
      </c>
      <c r="E4" s="122" t="s">
        <v>6</v>
      </c>
      <c r="F4" s="122" t="s">
        <v>7</v>
      </c>
      <c r="G4" s="122" t="s">
        <v>8</v>
      </c>
      <c r="H4" s="122" t="s">
        <v>9</v>
      </c>
      <c r="I4" s="122" t="s">
        <v>10</v>
      </c>
      <c r="J4" s="122" t="s">
        <v>11</v>
      </c>
      <c r="K4" s="122" t="s">
        <v>12</v>
      </c>
      <c r="L4" s="122" t="s">
        <v>13</v>
      </c>
      <c r="M4" s="122" t="s">
        <v>14</v>
      </c>
      <c r="N4" s="122" t="s">
        <v>15</v>
      </c>
      <c r="O4" s="122" t="s">
        <v>16</v>
      </c>
      <c r="P4" s="122" t="s">
        <v>17</v>
      </c>
      <c r="Q4" s="122" t="s">
        <v>18</v>
      </c>
      <c r="R4" s="122" t="s">
        <v>19</v>
      </c>
      <c r="S4" s="122" t="s">
        <v>20</v>
      </c>
      <c r="T4" s="122" t="s">
        <v>21</v>
      </c>
      <c r="U4" s="122" t="s">
        <v>22</v>
      </c>
      <c r="V4" s="122" t="s">
        <v>23</v>
      </c>
      <c r="W4" s="122" t="s">
        <v>24</v>
      </c>
      <c r="X4" s="122" t="s">
        <v>25</v>
      </c>
      <c r="Y4" s="122" t="s">
        <v>26</v>
      </c>
      <c r="Z4" s="122" t="s">
        <v>27</v>
      </c>
      <c r="AA4" s="122" t="s">
        <v>28</v>
      </c>
      <c r="AB4" s="122" t="s">
        <v>29</v>
      </c>
      <c r="AC4" s="130" t="s">
        <v>30</v>
      </c>
    </row>
    <row r="5" ht="34" spans="1:29">
      <c r="A5" s="55" t="s">
        <v>31</v>
      </c>
      <c r="B5" s="3" t="s">
        <v>32</v>
      </c>
      <c r="C5" s="3" t="s">
        <v>33</v>
      </c>
      <c r="D5" s="3">
        <v>29</v>
      </c>
      <c r="E5" s="123">
        <v>7569</v>
      </c>
      <c r="F5" s="128">
        <v>2199.45</v>
      </c>
      <c r="G5" s="126">
        <v>358</v>
      </c>
      <c r="H5" s="126">
        <v>306.92</v>
      </c>
      <c r="I5" s="126">
        <v>109</v>
      </c>
      <c r="J5" s="126">
        <v>36.16</v>
      </c>
      <c r="K5" s="126">
        <v>2265</v>
      </c>
      <c r="L5" s="126">
        <v>459.02</v>
      </c>
      <c r="M5" s="126">
        <v>722</v>
      </c>
      <c r="N5" s="126">
        <v>153.91</v>
      </c>
      <c r="O5" s="126">
        <v>1767</v>
      </c>
      <c r="P5" s="126">
        <v>248.3</v>
      </c>
      <c r="Q5" s="126">
        <v>2348</v>
      </c>
      <c r="R5" s="126">
        <v>110.59</v>
      </c>
      <c r="S5" s="126">
        <v>32</v>
      </c>
      <c r="T5" s="126">
        <v>506.81</v>
      </c>
      <c r="U5" s="126">
        <v>20</v>
      </c>
      <c r="V5" s="126">
        <v>60.84</v>
      </c>
      <c r="W5" s="126">
        <v>24</v>
      </c>
      <c r="X5" s="126">
        <v>46.33</v>
      </c>
      <c r="Y5" s="128">
        <f t="shared" ref="Y5:Y16" si="0">SUM(H5,J5,L5,N5,P5,R5)</f>
        <v>1314.9</v>
      </c>
      <c r="Z5" s="128">
        <f t="shared" ref="Z5:Z16" si="1">SUM(T5,V5,X5)</f>
        <v>613.98</v>
      </c>
      <c r="AA5" s="128">
        <f t="shared" ref="AA5:AA16" si="2">F5-Y5-Z5</f>
        <v>270.57</v>
      </c>
      <c r="AB5" s="3" t="s">
        <v>34</v>
      </c>
      <c r="AC5" s="60" t="s">
        <v>35</v>
      </c>
    </row>
    <row r="6" ht="34" spans="1:29">
      <c r="A6" s="55" t="s">
        <v>36</v>
      </c>
      <c r="B6" s="3" t="s">
        <v>33</v>
      </c>
      <c r="C6" s="3" t="s">
        <v>37</v>
      </c>
      <c r="D6" s="3">
        <v>32</v>
      </c>
      <c r="E6" s="123">
        <v>9408</v>
      </c>
      <c r="F6" s="128">
        <v>2092.71</v>
      </c>
      <c r="G6" s="126"/>
      <c r="H6" s="126"/>
      <c r="I6" s="126"/>
      <c r="J6" s="126"/>
      <c r="K6" s="126"/>
      <c r="L6" s="126"/>
      <c r="M6" s="126">
        <v>1361</v>
      </c>
      <c r="N6" s="126">
        <v>290.11</v>
      </c>
      <c r="O6" s="126">
        <v>3998</v>
      </c>
      <c r="P6" s="126">
        <v>561.8</v>
      </c>
      <c r="Q6" s="126">
        <v>4049</v>
      </c>
      <c r="R6" s="126">
        <v>190.71</v>
      </c>
      <c r="S6" s="126">
        <v>39</v>
      </c>
      <c r="T6" s="126">
        <v>562.14</v>
      </c>
      <c r="U6" s="126"/>
      <c r="V6" s="126"/>
      <c r="W6" s="126">
        <v>24</v>
      </c>
      <c r="X6" s="126">
        <v>74.64</v>
      </c>
      <c r="Y6" s="128">
        <f t="shared" si="0"/>
        <v>1042.62</v>
      </c>
      <c r="Z6" s="128">
        <f t="shared" si="1"/>
        <v>636.78</v>
      </c>
      <c r="AA6" s="128">
        <f t="shared" si="2"/>
        <v>413.31</v>
      </c>
      <c r="AB6" s="3" t="s">
        <v>38</v>
      </c>
      <c r="AC6" s="60" t="s">
        <v>35</v>
      </c>
    </row>
    <row r="7" ht="34" spans="1:29">
      <c r="A7" s="55" t="s">
        <v>39</v>
      </c>
      <c r="B7" s="3" t="s">
        <v>37</v>
      </c>
      <c r="C7" s="3" t="s">
        <v>40</v>
      </c>
      <c r="D7" s="3">
        <v>30</v>
      </c>
      <c r="E7" s="123">
        <v>11409</v>
      </c>
      <c r="F7" s="128">
        <v>2449.71</v>
      </c>
      <c r="G7" s="126"/>
      <c r="H7" s="126"/>
      <c r="I7" s="126"/>
      <c r="J7" s="126"/>
      <c r="K7" s="126"/>
      <c r="L7" s="126"/>
      <c r="M7" s="126">
        <v>1694</v>
      </c>
      <c r="N7" s="126">
        <v>361.09</v>
      </c>
      <c r="O7" s="126">
        <v>5123</v>
      </c>
      <c r="P7" s="126">
        <v>719.89</v>
      </c>
      <c r="Q7" s="126">
        <v>4592</v>
      </c>
      <c r="R7" s="126">
        <v>216.28</v>
      </c>
      <c r="S7" s="126">
        <v>43</v>
      </c>
      <c r="T7" s="126">
        <v>618.36</v>
      </c>
      <c r="U7" s="126"/>
      <c r="V7" s="126"/>
      <c r="W7" s="126">
        <v>26</v>
      </c>
      <c r="X7" s="126">
        <v>80.86</v>
      </c>
      <c r="Y7" s="128">
        <f t="shared" si="0"/>
        <v>1297.26</v>
      </c>
      <c r="Z7" s="128">
        <f t="shared" si="1"/>
        <v>699.22</v>
      </c>
      <c r="AA7" s="128">
        <f t="shared" si="2"/>
        <v>453.23</v>
      </c>
      <c r="AB7" s="3" t="s">
        <v>41</v>
      </c>
      <c r="AC7" s="60" t="s">
        <v>35</v>
      </c>
    </row>
    <row r="8" ht="34" spans="1:29">
      <c r="A8" s="55" t="s">
        <v>42</v>
      </c>
      <c r="B8" s="3" t="s">
        <v>40</v>
      </c>
      <c r="C8" s="3" t="s">
        <v>43</v>
      </c>
      <c r="D8" s="3">
        <v>33</v>
      </c>
      <c r="E8" s="123">
        <v>12241</v>
      </c>
      <c r="F8" s="128">
        <v>2575.94</v>
      </c>
      <c r="G8" s="126"/>
      <c r="H8" s="126"/>
      <c r="I8" s="126"/>
      <c r="J8" s="126"/>
      <c r="K8" s="126"/>
      <c r="L8" s="126"/>
      <c r="M8" s="126">
        <v>1904</v>
      </c>
      <c r="N8" s="126">
        <v>396.21</v>
      </c>
      <c r="O8" s="126">
        <v>5368</v>
      </c>
      <c r="P8" s="126">
        <v>736.98</v>
      </c>
      <c r="Q8" s="126">
        <v>4969</v>
      </c>
      <c r="R8" s="126">
        <v>257.42</v>
      </c>
      <c r="S8" s="126">
        <v>44</v>
      </c>
      <c r="T8" s="126">
        <v>628.02</v>
      </c>
      <c r="U8" s="126"/>
      <c r="V8" s="126"/>
      <c r="W8" s="126">
        <v>24</v>
      </c>
      <c r="X8" s="126">
        <v>69.9</v>
      </c>
      <c r="Y8" s="128">
        <f t="shared" si="0"/>
        <v>1390.61</v>
      </c>
      <c r="Z8" s="128">
        <f t="shared" si="1"/>
        <v>697.92</v>
      </c>
      <c r="AA8" s="128">
        <f t="shared" si="2"/>
        <v>487.41</v>
      </c>
      <c r="AB8" s="3" t="s">
        <v>44</v>
      </c>
      <c r="AC8" s="60" t="s">
        <v>35</v>
      </c>
    </row>
    <row r="9" ht="34" spans="1:29">
      <c r="A9" s="55" t="s">
        <v>45</v>
      </c>
      <c r="B9" s="3" t="s">
        <v>43</v>
      </c>
      <c r="C9" s="3" t="s">
        <v>46</v>
      </c>
      <c r="D9" s="3">
        <v>30</v>
      </c>
      <c r="E9" s="123">
        <v>10734</v>
      </c>
      <c r="F9" s="128">
        <v>2376.93</v>
      </c>
      <c r="G9" s="126"/>
      <c r="H9" s="126"/>
      <c r="I9" s="126"/>
      <c r="J9" s="126"/>
      <c r="K9" s="126"/>
      <c r="L9" s="126"/>
      <c r="M9" s="126">
        <v>1517</v>
      </c>
      <c r="N9" s="126">
        <v>311.44</v>
      </c>
      <c r="O9" s="126">
        <v>4591</v>
      </c>
      <c r="P9" s="126">
        <v>622.45</v>
      </c>
      <c r="Q9" s="126">
        <v>4626</v>
      </c>
      <c r="R9" s="126">
        <v>251.28</v>
      </c>
      <c r="S9" s="126">
        <v>46</v>
      </c>
      <c r="T9" s="126">
        <v>663.94</v>
      </c>
      <c r="U9" s="126"/>
      <c r="V9" s="126"/>
      <c r="W9" s="126">
        <v>27</v>
      </c>
      <c r="X9" s="126">
        <v>75.6</v>
      </c>
      <c r="Y9" s="128">
        <f t="shared" si="0"/>
        <v>1185.17</v>
      </c>
      <c r="Z9" s="128">
        <f t="shared" si="1"/>
        <v>739.54</v>
      </c>
      <c r="AA9" s="128">
        <f t="shared" si="2"/>
        <v>452.22</v>
      </c>
      <c r="AB9" s="3" t="s">
        <v>47</v>
      </c>
      <c r="AC9" s="60" t="s">
        <v>35</v>
      </c>
    </row>
    <row r="10" ht="34" spans="1:29">
      <c r="A10" s="55" t="s">
        <v>48</v>
      </c>
      <c r="B10" s="3" t="s">
        <v>46</v>
      </c>
      <c r="C10" s="3" t="s">
        <v>49</v>
      </c>
      <c r="D10" s="3">
        <v>29</v>
      </c>
      <c r="E10" s="123">
        <v>7646</v>
      </c>
      <c r="F10" s="128">
        <v>1802.68</v>
      </c>
      <c r="G10" s="126"/>
      <c r="H10" s="126"/>
      <c r="I10" s="126"/>
      <c r="J10" s="126"/>
      <c r="K10" s="126"/>
      <c r="L10" s="126"/>
      <c r="M10" s="126">
        <v>1052</v>
      </c>
      <c r="N10" s="126">
        <v>216.76</v>
      </c>
      <c r="O10" s="126">
        <v>3377</v>
      </c>
      <c r="P10" s="126">
        <v>459.26</v>
      </c>
      <c r="Q10" s="126">
        <v>3217</v>
      </c>
      <c r="R10" s="126">
        <v>176.58</v>
      </c>
      <c r="S10" s="126">
        <v>36</v>
      </c>
      <c r="T10" s="126">
        <v>510.71</v>
      </c>
      <c r="U10" s="126"/>
      <c r="V10" s="126"/>
      <c r="W10" s="126">
        <v>16</v>
      </c>
      <c r="X10" s="126">
        <v>44.8</v>
      </c>
      <c r="Y10" s="128">
        <f t="shared" si="0"/>
        <v>852.6</v>
      </c>
      <c r="Z10" s="128">
        <f t="shared" si="1"/>
        <v>555.51</v>
      </c>
      <c r="AA10" s="128">
        <f t="shared" si="2"/>
        <v>394.57</v>
      </c>
      <c r="AB10" s="3" t="s">
        <v>50</v>
      </c>
      <c r="AC10" s="60" t="s">
        <v>35</v>
      </c>
    </row>
    <row r="11" ht="34" spans="1:30">
      <c r="A11" s="55" t="s">
        <v>51</v>
      </c>
      <c r="B11" s="3" t="s">
        <v>49</v>
      </c>
      <c r="C11" s="3" t="s">
        <v>52</v>
      </c>
      <c r="D11" s="3">
        <v>32</v>
      </c>
      <c r="E11" s="123">
        <v>6348</v>
      </c>
      <c r="F11" s="128">
        <v>1532.43</v>
      </c>
      <c r="G11" s="126"/>
      <c r="H11" s="126"/>
      <c r="I11" s="126"/>
      <c r="J11" s="126"/>
      <c r="K11" s="126"/>
      <c r="L11" s="126"/>
      <c r="M11" s="126">
        <v>902</v>
      </c>
      <c r="N11" s="126">
        <v>186.19</v>
      </c>
      <c r="O11" s="126">
        <v>2653</v>
      </c>
      <c r="P11" s="126">
        <v>361.36</v>
      </c>
      <c r="Q11" s="126">
        <v>2793</v>
      </c>
      <c r="R11" s="126">
        <v>154.01</v>
      </c>
      <c r="S11" s="126">
        <v>28</v>
      </c>
      <c r="T11" s="126">
        <v>420.28</v>
      </c>
      <c r="U11" s="126"/>
      <c r="V11" s="126"/>
      <c r="W11" s="126">
        <v>20</v>
      </c>
      <c r="X11" s="126">
        <v>56</v>
      </c>
      <c r="Y11" s="128">
        <f t="shared" si="0"/>
        <v>701.56</v>
      </c>
      <c r="Z11" s="128">
        <f t="shared" si="1"/>
        <v>476.28</v>
      </c>
      <c r="AA11" s="128">
        <f t="shared" si="2"/>
        <v>354.59</v>
      </c>
      <c r="AB11" s="3" t="s">
        <v>53</v>
      </c>
      <c r="AC11" s="60" t="s">
        <v>35</v>
      </c>
      <c r="AD11" t="s">
        <v>54</v>
      </c>
    </row>
    <row r="12" s="119" customFormat="1" ht="51" spans="1:30">
      <c r="A12" s="55" t="s">
        <v>55</v>
      </c>
      <c r="B12" s="3" t="s">
        <v>52</v>
      </c>
      <c r="C12" s="3" t="s">
        <v>56</v>
      </c>
      <c r="D12" s="3">
        <v>29</v>
      </c>
      <c r="E12" s="123">
        <v>6057</v>
      </c>
      <c r="F12" s="128">
        <v>1515.83</v>
      </c>
      <c r="G12" s="126">
        <f t="shared" ref="G12:L12" si="3">G13*$AD$12</f>
        <v>403.833237303482</v>
      </c>
      <c r="H12" s="126">
        <f t="shared" si="3"/>
        <v>343.213381348259</v>
      </c>
      <c r="I12" s="126">
        <f t="shared" si="3"/>
        <v>128.628364474442</v>
      </c>
      <c r="J12" s="126">
        <f t="shared" si="3"/>
        <v>45.1595242406782</v>
      </c>
      <c r="K12" s="126">
        <f t="shared" si="3"/>
        <v>2359.68236068812</v>
      </c>
      <c r="L12" s="126">
        <f t="shared" si="3"/>
        <v>502.802294015968</v>
      </c>
      <c r="M12" s="126">
        <f t="shared" ref="M12:R12" si="4">M11*$AD$12</f>
        <v>449.700716108322</v>
      </c>
      <c r="N12" s="126">
        <f t="shared" si="4"/>
        <v>92.8268030290559</v>
      </c>
      <c r="O12" s="126">
        <f t="shared" si="4"/>
        <v>1322.67849205696</v>
      </c>
      <c r="P12" s="126">
        <f t="shared" si="4"/>
        <v>180.159479792576</v>
      </c>
      <c r="Q12" s="126">
        <f t="shared" si="4"/>
        <v>1392.47682936867</v>
      </c>
      <c r="R12" s="126">
        <f t="shared" si="4"/>
        <v>76.7831566384065</v>
      </c>
      <c r="S12" s="126">
        <f>AVERAGE(S11,S13)</f>
        <v>34.5</v>
      </c>
      <c r="T12" s="126">
        <f>AVERAGE(T11,T13)</f>
        <v>553.21</v>
      </c>
      <c r="U12" s="126">
        <f>U13</f>
        <v>29</v>
      </c>
      <c r="V12" s="126">
        <f>V13</f>
        <v>123.97</v>
      </c>
      <c r="W12" s="126">
        <f>W11</f>
        <v>20</v>
      </c>
      <c r="X12" s="126">
        <f>X11</f>
        <v>56</v>
      </c>
      <c r="Y12" s="128">
        <f t="shared" si="0"/>
        <v>1240.94463906494</v>
      </c>
      <c r="Z12" s="128">
        <f t="shared" si="1"/>
        <v>733.18</v>
      </c>
      <c r="AA12" s="128">
        <f t="shared" si="2"/>
        <v>-458.294639064944</v>
      </c>
      <c r="AB12" s="3"/>
      <c r="AC12" s="60" t="s">
        <v>57</v>
      </c>
      <c r="AD12" s="119">
        <f>E12/SUM(G13,I13,K13,M11,O11,Q11)</f>
        <v>0.498559552226521</v>
      </c>
    </row>
    <row r="13" ht="34" spans="1:29">
      <c r="A13" s="55" t="s">
        <v>58</v>
      </c>
      <c r="B13" s="3" t="s">
        <v>56</v>
      </c>
      <c r="C13" s="3" t="s">
        <v>59</v>
      </c>
      <c r="D13" s="3">
        <v>30</v>
      </c>
      <c r="E13" s="123">
        <v>8802</v>
      </c>
      <c r="F13" s="128">
        <v>3167.93</v>
      </c>
      <c r="G13" s="126">
        <v>810</v>
      </c>
      <c r="H13" s="126">
        <v>688.41</v>
      </c>
      <c r="I13" s="126">
        <v>258</v>
      </c>
      <c r="J13" s="126">
        <v>90.58</v>
      </c>
      <c r="K13" s="126">
        <v>4733</v>
      </c>
      <c r="L13" s="126">
        <v>1008.51</v>
      </c>
      <c r="M13" s="126">
        <v>555</v>
      </c>
      <c r="N13" s="126">
        <v>114.56</v>
      </c>
      <c r="O13" s="126">
        <v>1023</v>
      </c>
      <c r="P13" s="126">
        <v>139.34</v>
      </c>
      <c r="Q13" s="126">
        <v>1423</v>
      </c>
      <c r="R13" s="126">
        <v>78.46</v>
      </c>
      <c r="S13" s="126">
        <v>41</v>
      </c>
      <c r="T13" s="126">
        <v>686.14</v>
      </c>
      <c r="U13" s="126">
        <v>29</v>
      </c>
      <c r="V13" s="126">
        <v>123.97</v>
      </c>
      <c r="W13" s="126">
        <v>26</v>
      </c>
      <c r="X13" s="126">
        <v>26.69</v>
      </c>
      <c r="Y13" s="128">
        <f t="shared" si="0"/>
        <v>2119.86</v>
      </c>
      <c r="Z13" s="128">
        <f t="shared" si="1"/>
        <v>836.8</v>
      </c>
      <c r="AA13" s="128">
        <f t="shared" si="2"/>
        <v>211.27</v>
      </c>
      <c r="AB13" s="3" t="s">
        <v>60</v>
      </c>
      <c r="AC13" s="60" t="s">
        <v>35</v>
      </c>
    </row>
    <row r="14" ht="34" spans="1:29">
      <c r="A14" s="55" t="s">
        <v>61</v>
      </c>
      <c r="B14" s="3" t="s">
        <v>59</v>
      </c>
      <c r="C14" s="3" t="s">
        <v>62</v>
      </c>
      <c r="D14" s="3">
        <v>33</v>
      </c>
      <c r="E14" s="123">
        <v>12723</v>
      </c>
      <c r="F14" s="128">
        <v>4972.77</v>
      </c>
      <c r="G14" s="126">
        <v>1450</v>
      </c>
      <c r="H14" s="126">
        <v>1232.34</v>
      </c>
      <c r="I14" s="126">
        <v>531</v>
      </c>
      <c r="J14" s="126">
        <v>186.42</v>
      </c>
      <c r="K14" s="126">
        <v>10742</v>
      </c>
      <c r="L14" s="126">
        <v>2288.91</v>
      </c>
      <c r="M14" s="126"/>
      <c r="N14" s="126"/>
      <c r="O14" s="126"/>
      <c r="P14" s="126"/>
      <c r="Q14" s="126"/>
      <c r="R14" s="126"/>
      <c r="S14" s="126">
        <v>51</v>
      </c>
      <c r="T14" s="126">
        <v>944.34</v>
      </c>
      <c r="U14" s="126">
        <v>41</v>
      </c>
      <c r="V14" s="126">
        <v>276.75</v>
      </c>
      <c r="W14" s="126"/>
      <c r="X14" s="126"/>
      <c r="Y14" s="128">
        <f t="shared" si="0"/>
        <v>3707.67</v>
      </c>
      <c r="Z14" s="128">
        <f t="shared" si="1"/>
        <v>1221.09</v>
      </c>
      <c r="AA14" s="128">
        <f t="shared" si="2"/>
        <v>44.0100000000002</v>
      </c>
      <c r="AB14" s="3" t="s">
        <v>63</v>
      </c>
      <c r="AC14" s="60" t="s">
        <v>35</v>
      </c>
    </row>
    <row r="15" ht="34" spans="1:29">
      <c r="A15" s="55" t="s">
        <v>64</v>
      </c>
      <c r="B15" s="3" t="s">
        <v>62</v>
      </c>
      <c r="C15" s="3" t="s">
        <v>65</v>
      </c>
      <c r="D15" s="3">
        <v>29</v>
      </c>
      <c r="E15" s="123">
        <v>13067</v>
      </c>
      <c r="F15" s="128">
        <v>5128.28</v>
      </c>
      <c r="G15" s="126">
        <v>1607</v>
      </c>
      <c r="H15" s="126">
        <v>1365.77</v>
      </c>
      <c r="I15" s="126">
        <v>479</v>
      </c>
      <c r="J15" s="126">
        <v>168.17</v>
      </c>
      <c r="K15" s="126">
        <v>10981</v>
      </c>
      <c r="L15" s="126">
        <v>2339.83</v>
      </c>
      <c r="M15" s="126"/>
      <c r="N15" s="126"/>
      <c r="O15" s="126"/>
      <c r="P15" s="126"/>
      <c r="Q15" s="126"/>
      <c r="R15" s="126"/>
      <c r="S15" s="126">
        <v>50</v>
      </c>
      <c r="T15" s="126">
        <v>931.25</v>
      </c>
      <c r="U15" s="126">
        <v>41</v>
      </c>
      <c r="V15" s="126">
        <v>276.75</v>
      </c>
      <c r="W15" s="126"/>
      <c r="X15" s="126"/>
      <c r="Y15" s="128">
        <f t="shared" si="0"/>
        <v>3873.77</v>
      </c>
      <c r="Z15" s="128">
        <f t="shared" si="1"/>
        <v>1208</v>
      </c>
      <c r="AA15" s="128">
        <f t="shared" si="2"/>
        <v>46.5099999999998</v>
      </c>
      <c r="AB15" s="3" t="s">
        <v>66</v>
      </c>
      <c r="AC15" s="60" t="s">
        <v>35</v>
      </c>
    </row>
    <row r="16" ht="34" spans="1:29">
      <c r="A16" s="55" t="s">
        <v>67</v>
      </c>
      <c r="B16" s="3" t="s">
        <v>65</v>
      </c>
      <c r="C16" s="3" t="s">
        <v>68</v>
      </c>
      <c r="D16" s="3">
        <v>30</v>
      </c>
      <c r="E16" s="123">
        <v>11054</v>
      </c>
      <c r="F16" s="128">
        <v>4280.39</v>
      </c>
      <c r="G16" s="126">
        <v>1177</v>
      </c>
      <c r="H16" s="126">
        <v>1000.32</v>
      </c>
      <c r="I16" s="126">
        <v>454</v>
      </c>
      <c r="J16" s="126">
        <v>159.39</v>
      </c>
      <c r="K16" s="126">
        <v>9423</v>
      </c>
      <c r="L16" s="126">
        <v>2007.85</v>
      </c>
      <c r="M16" s="126"/>
      <c r="N16" s="126"/>
      <c r="O16" s="126"/>
      <c r="P16" s="126"/>
      <c r="Q16" s="126"/>
      <c r="R16" s="126"/>
      <c r="S16" s="126">
        <v>47</v>
      </c>
      <c r="T16" s="126">
        <v>804.23</v>
      </c>
      <c r="U16" s="126">
        <v>28</v>
      </c>
      <c r="V16" s="126">
        <v>189</v>
      </c>
      <c r="W16" s="126"/>
      <c r="X16" s="126"/>
      <c r="Y16" s="128">
        <f t="shared" si="0"/>
        <v>3167.56</v>
      </c>
      <c r="Z16" s="128">
        <f t="shared" si="1"/>
        <v>993.23</v>
      </c>
      <c r="AA16" s="128">
        <f t="shared" si="2"/>
        <v>119.6</v>
      </c>
      <c r="AB16" s="3" t="s">
        <v>69</v>
      </c>
      <c r="AC16" s="60" t="s">
        <v>35</v>
      </c>
    </row>
    <row r="17" ht="17" spans="1:29">
      <c r="A17" s="102" t="s">
        <v>70</v>
      </c>
      <c r="B17" s="124"/>
      <c r="C17" s="124"/>
      <c r="D17" s="124"/>
      <c r="E17" s="125">
        <f t="shared" ref="E17:R17" si="5">SUM(E5:E16)</f>
        <v>117058</v>
      </c>
      <c r="F17" s="129">
        <f t="shared" si="5"/>
        <v>34095.05</v>
      </c>
      <c r="G17" s="127">
        <f t="shared" si="5"/>
        <v>5805.83323730348</v>
      </c>
      <c r="H17" s="127">
        <f t="shared" si="5"/>
        <v>4936.97338134826</v>
      </c>
      <c r="I17" s="127">
        <f t="shared" si="5"/>
        <v>1959.62836447444</v>
      </c>
      <c r="J17" s="127">
        <f t="shared" si="5"/>
        <v>685.879524240678</v>
      </c>
      <c r="K17" s="127">
        <f t="shared" si="5"/>
        <v>40503.6823606881</v>
      </c>
      <c r="L17" s="127">
        <f t="shared" si="5"/>
        <v>8606.92229401597</v>
      </c>
      <c r="M17" s="127">
        <f t="shared" si="5"/>
        <v>10156.7007161083</v>
      </c>
      <c r="N17" s="127">
        <f t="shared" si="5"/>
        <v>2123.09680302906</v>
      </c>
      <c r="O17" s="127">
        <f t="shared" si="5"/>
        <v>29222.678492057</v>
      </c>
      <c r="P17" s="127">
        <f t="shared" si="5"/>
        <v>4029.53947979258</v>
      </c>
      <c r="Q17" s="127">
        <f t="shared" si="5"/>
        <v>29409.4768293687</v>
      </c>
      <c r="R17" s="127">
        <f t="shared" si="5"/>
        <v>1512.11315663841</v>
      </c>
      <c r="S17" s="124"/>
      <c r="T17" s="124"/>
      <c r="U17" s="124"/>
      <c r="V17" s="124"/>
      <c r="W17" s="124"/>
      <c r="X17" s="124"/>
      <c r="Y17" s="129">
        <f>SUM(Y5:Y16)</f>
        <v>21894.5246390649</v>
      </c>
      <c r="Z17" s="129">
        <f>SUM(Z5:Z16)</f>
        <v>9411.53</v>
      </c>
      <c r="AA17" s="129">
        <f>SUM(AA5:AA16)</f>
        <v>2788.99536093506</v>
      </c>
      <c r="AB17" s="124"/>
      <c r="AC17" s="104"/>
    </row>
  </sheetData>
  <mergeCells count="2">
    <mergeCell ref="A1:AC1"/>
    <mergeCell ref="A2:AC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7"/>
  <sheetViews>
    <sheetView workbookViewId="0">
      <selection activeCell="A4" sqref="A4"/>
    </sheetView>
  </sheetViews>
  <sheetFormatPr defaultColWidth="9" defaultRowHeight="16.8"/>
  <cols>
    <col min="1" max="1" width="14" customWidth="1"/>
    <col min="2" max="3" width="13" customWidth="1"/>
    <col min="4" max="4" width="8" customWidth="1"/>
    <col min="5" max="6" width="15" customWidth="1"/>
    <col min="7" max="24" width="14" customWidth="1"/>
    <col min="25" max="27" width="17" customWidth="1"/>
    <col min="28" max="28" width="46" customWidth="1"/>
    <col min="29" max="29" width="28" customWidth="1"/>
  </cols>
  <sheetData>
    <row r="1" ht="22" spans="1:29">
      <c r="A1" s="131" t="s">
        <v>71</v>
      </c>
      <c r="B1" s="131"/>
      <c r="C1" s="131"/>
      <c r="D1" s="131"/>
      <c r="E1" s="131"/>
      <c r="F1" s="131"/>
      <c r="G1" s="131"/>
      <c r="H1" s="131"/>
      <c r="I1" s="131"/>
      <c r="J1" s="131"/>
      <c r="K1" s="131"/>
      <c r="L1" s="131"/>
      <c r="M1" s="131"/>
      <c r="N1" s="131"/>
      <c r="O1" s="131"/>
      <c r="P1" s="131"/>
      <c r="Q1" s="131"/>
      <c r="R1" s="131"/>
      <c r="S1" s="131"/>
      <c r="T1" s="131"/>
      <c r="U1" s="131"/>
      <c r="V1" s="131"/>
      <c r="W1" s="131"/>
      <c r="X1" s="131"/>
      <c r="Y1" s="131"/>
      <c r="Z1" s="131"/>
      <c r="AA1" s="131"/>
      <c r="AB1" s="131"/>
      <c r="AC1" s="131"/>
    </row>
    <row r="2" spans="1:29">
      <c r="A2" s="100" t="s">
        <v>72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row>
    <row r="3" spans="1:29">
      <c r="A3" s="3"/>
      <c r="B3" s="3"/>
      <c r="C3" s="3"/>
      <c r="D3" s="3"/>
      <c r="E3" s="3"/>
      <c r="F3" s="3"/>
      <c r="G3" s="3"/>
      <c r="H3" s="3"/>
      <c r="I3" s="3"/>
      <c r="J3" s="3"/>
      <c r="K3" s="3"/>
      <c r="L3" s="3"/>
      <c r="M3" s="3"/>
      <c r="N3" s="3"/>
      <c r="O3" s="3"/>
      <c r="P3" s="3"/>
      <c r="Q3" s="3"/>
      <c r="R3" s="3"/>
      <c r="S3" s="3"/>
      <c r="T3" s="3"/>
      <c r="U3" s="3"/>
      <c r="V3" s="3"/>
      <c r="W3" s="3"/>
      <c r="X3" s="3"/>
      <c r="Y3" s="3"/>
      <c r="Z3" s="3"/>
      <c r="AA3" s="3"/>
      <c r="AB3" s="3"/>
      <c r="AC3" s="3"/>
    </row>
    <row r="4" ht="51" spans="1:29">
      <c r="A4" s="121" t="s">
        <v>2</v>
      </c>
      <c r="B4" s="122" t="s">
        <v>3</v>
      </c>
      <c r="C4" s="122" t="s">
        <v>4</v>
      </c>
      <c r="D4" s="122" t="s">
        <v>5</v>
      </c>
      <c r="E4" s="122" t="s">
        <v>6</v>
      </c>
      <c r="F4" s="122" t="s">
        <v>7</v>
      </c>
      <c r="G4" s="122" t="s">
        <v>8</v>
      </c>
      <c r="H4" s="122" t="s">
        <v>9</v>
      </c>
      <c r="I4" s="122" t="s">
        <v>10</v>
      </c>
      <c r="J4" s="122" t="s">
        <v>11</v>
      </c>
      <c r="K4" s="122" t="s">
        <v>12</v>
      </c>
      <c r="L4" s="122" t="s">
        <v>13</v>
      </c>
      <c r="M4" s="122" t="s">
        <v>14</v>
      </c>
      <c r="N4" s="122" t="s">
        <v>15</v>
      </c>
      <c r="O4" s="122" t="s">
        <v>16</v>
      </c>
      <c r="P4" s="122" t="s">
        <v>17</v>
      </c>
      <c r="Q4" s="122" t="s">
        <v>18</v>
      </c>
      <c r="R4" s="122" t="s">
        <v>19</v>
      </c>
      <c r="S4" s="122" t="s">
        <v>20</v>
      </c>
      <c r="T4" s="122" t="s">
        <v>21</v>
      </c>
      <c r="U4" s="122" t="s">
        <v>22</v>
      </c>
      <c r="V4" s="122" t="s">
        <v>23</v>
      </c>
      <c r="W4" s="122" t="s">
        <v>24</v>
      </c>
      <c r="X4" s="122" t="s">
        <v>25</v>
      </c>
      <c r="Y4" s="122" t="s">
        <v>26</v>
      </c>
      <c r="Z4" s="122" t="s">
        <v>27</v>
      </c>
      <c r="AA4" s="122" t="s">
        <v>28</v>
      </c>
      <c r="AB4" s="122" t="s">
        <v>29</v>
      </c>
      <c r="AC4" s="130" t="s">
        <v>30</v>
      </c>
    </row>
    <row r="5" ht="34" spans="1:29">
      <c r="A5" s="55" t="s">
        <v>31</v>
      </c>
      <c r="B5" s="3" t="s">
        <v>32</v>
      </c>
      <c r="C5" s="3" t="s">
        <v>33</v>
      </c>
      <c r="D5" s="3">
        <v>29</v>
      </c>
      <c r="E5" s="123">
        <v>42448</v>
      </c>
      <c r="F5" s="128">
        <v>18373.78</v>
      </c>
      <c r="G5" s="126">
        <v>86</v>
      </c>
      <c r="H5" s="126">
        <v>14.95</v>
      </c>
      <c r="I5" s="126">
        <v>37</v>
      </c>
      <c r="J5" s="126">
        <v>5.93</v>
      </c>
      <c r="K5" s="126">
        <v>16852</v>
      </c>
      <c r="L5" s="126">
        <v>2002.19</v>
      </c>
      <c r="M5" s="126">
        <v>389</v>
      </c>
      <c r="N5" s="126">
        <v>51.56</v>
      </c>
      <c r="O5" s="126">
        <v>2382</v>
      </c>
      <c r="P5" s="126">
        <v>314.49</v>
      </c>
      <c r="Q5" s="126">
        <v>22702</v>
      </c>
      <c r="R5" s="126">
        <v>690.37</v>
      </c>
      <c r="S5" s="126">
        <v>552</v>
      </c>
      <c r="T5" s="126">
        <v>12811.13</v>
      </c>
      <c r="U5" s="126">
        <v>12</v>
      </c>
      <c r="V5" s="126">
        <v>115.89</v>
      </c>
      <c r="W5" s="126">
        <v>142</v>
      </c>
      <c r="X5" s="126">
        <v>689.24</v>
      </c>
      <c r="Y5" s="128">
        <f t="shared" ref="Y5:Y16" si="0">SUM(H5,J5,L5,N5,P5,R5)</f>
        <v>3079.49</v>
      </c>
      <c r="Z5" s="128">
        <f t="shared" ref="Z5:Z16" si="1">SUM(T5,V5,X5)</f>
        <v>13616.26</v>
      </c>
      <c r="AA5" s="128">
        <f t="shared" ref="AA5:AA16" si="2">F5-Y5-Z5</f>
        <v>1678.03</v>
      </c>
      <c r="AB5" s="3" t="s">
        <v>73</v>
      </c>
      <c r="AC5" s="60" t="s">
        <v>35</v>
      </c>
    </row>
    <row r="6" ht="34" spans="1:29">
      <c r="A6" s="55" t="s">
        <v>36</v>
      </c>
      <c r="B6" s="3" t="s">
        <v>33</v>
      </c>
      <c r="C6" s="3" t="s">
        <v>37</v>
      </c>
      <c r="D6" s="3">
        <v>32</v>
      </c>
      <c r="E6" s="123">
        <v>51688</v>
      </c>
      <c r="F6" s="128">
        <v>19755.43</v>
      </c>
      <c r="G6" s="126"/>
      <c r="H6" s="126"/>
      <c r="I6" s="126"/>
      <c r="J6" s="126"/>
      <c r="K6" s="126"/>
      <c r="L6" s="126"/>
      <c r="M6" s="126">
        <v>293</v>
      </c>
      <c r="N6" s="126">
        <v>38.83</v>
      </c>
      <c r="O6" s="126">
        <v>3945</v>
      </c>
      <c r="P6" s="126">
        <v>520.86</v>
      </c>
      <c r="Q6" s="126">
        <v>47450</v>
      </c>
      <c r="R6" s="126">
        <v>1442.95</v>
      </c>
      <c r="S6" s="126">
        <v>622</v>
      </c>
      <c r="T6" s="126">
        <v>14032.88</v>
      </c>
      <c r="U6" s="126"/>
      <c r="V6" s="126"/>
      <c r="W6" s="126">
        <v>47</v>
      </c>
      <c r="X6" s="126">
        <v>367.54</v>
      </c>
      <c r="Y6" s="128">
        <f t="shared" si="0"/>
        <v>2002.64</v>
      </c>
      <c r="Z6" s="128">
        <f t="shared" si="1"/>
        <v>14400.42</v>
      </c>
      <c r="AA6" s="128">
        <f t="shared" si="2"/>
        <v>3352.37</v>
      </c>
      <c r="AB6" s="3" t="s">
        <v>74</v>
      </c>
      <c r="AC6" s="60" t="s">
        <v>35</v>
      </c>
    </row>
    <row r="7" ht="34" spans="1:29">
      <c r="A7" s="55" t="s">
        <v>39</v>
      </c>
      <c r="B7" s="3" t="s">
        <v>37</v>
      </c>
      <c r="C7" s="3" t="s">
        <v>40</v>
      </c>
      <c r="D7" s="3">
        <v>30</v>
      </c>
      <c r="E7" s="123">
        <v>41843</v>
      </c>
      <c r="F7" s="128">
        <v>17151.12</v>
      </c>
      <c r="G7" s="126"/>
      <c r="H7" s="126"/>
      <c r="I7" s="126"/>
      <c r="J7" s="126"/>
      <c r="K7" s="126"/>
      <c r="L7" s="126"/>
      <c r="M7" s="126">
        <v>330</v>
      </c>
      <c r="N7" s="126">
        <v>43.74</v>
      </c>
      <c r="O7" s="126">
        <v>3938</v>
      </c>
      <c r="P7" s="126">
        <v>519.93</v>
      </c>
      <c r="Q7" s="126">
        <v>37575</v>
      </c>
      <c r="R7" s="126">
        <v>1142.66</v>
      </c>
      <c r="S7" s="126">
        <v>513</v>
      </c>
      <c r="T7" s="126">
        <v>12169.91</v>
      </c>
      <c r="U7" s="126"/>
      <c r="V7" s="126"/>
      <c r="W7" s="126">
        <v>115</v>
      </c>
      <c r="X7" s="126">
        <v>899.3</v>
      </c>
      <c r="Y7" s="128">
        <f t="shared" si="0"/>
        <v>1706.33</v>
      </c>
      <c r="Z7" s="128">
        <f t="shared" si="1"/>
        <v>13069.21</v>
      </c>
      <c r="AA7" s="128">
        <f t="shared" si="2"/>
        <v>2375.58</v>
      </c>
      <c r="AB7" s="3" t="s">
        <v>75</v>
      </c>
      <c r="AC7" s="60" t="s">
        <v>35</v>
      </c>
    </row>
    <row r="8" ht="34" spans="1:29">
      <c r="A8" s="55" t="s">
        <v>42</v>
      </c>
      <c r="B8" s="3" t="s">
        <v>40</v>
      </c>
      <c r="C8" s="3" t="s">
        <v>43</v>
      </c>
      <c r="D8" s="3">
        <v>33</v>
      </c>
      <c r="E8" s="123">
        <v>42603</v>
      </c>
      <c r="F8" s="128">
        <v>20168.76</v>
      </c>
      <c r="G8" s="126"/>
      <c r="H8" s="126"/>
      <c r="I8" s="126"/>
      <c r="J8" s="126"/>
      <c r="K8" s="126"/>
      <c r="L8" s="126"/>
      <c r="M8" s="126">
        <v>233</v>
      </c>
      <c r="N8" s="126">
        <v>30.29</v>
      </c>
      <c r="O8" s="126">
        <v>3868</v>
      </c>
      <c r="P8" s="126">
        <v>499.88</v>
      </c>
      <c r="Q8" s="126">
        <v>38502</v>
      </c>
      <c r="R8" s="126">
        <v>1308.51</v>
      </c>
      <c r="S8" s="126">
        <v>655</v>
      </c>
      <c r="T8" s="126">
        <v>15251.57</v>
      </c>
      <c r="U8" s="126"/>
      <c r="V8" s="126"/>
      <c r="W8" s="126">
        <v>43</v>
      </c>
      <c r="X8" s="126">
        <v>315.19</v>
      </c>
      <c r="Y8" s="128">
        <f t="shared" si="0"/>
        <v>1838.68</v>
      </c>
      <c r="Z8" s="128">
        <f t="shared" si="1"/>
        <v>15566.76</v>
      </c>
      <c r="AA8" s="128">
        <f t="shared" si="2"/>
        <v>2763.32</v>
      </c>
      <c r="AB8" s="3" t="s">
        <v>76</v>
      </c>
      <c r="AC8" s="60" t="s">
        <v>35</v>
      </c>
    </row>
    <row r="9" ht="34" spans="1:29">
      <c r="A9" s="55" t="s">
        <v>45</v>
      </c>
      <c r="B9" s="3" t="s">
        <v>43</v>
      </c>
      <c r="C9" s="3" t="s">
        <v>46</v>
      </c>
      <c r="D9" s="3">
        <v>30</v>
      </c>
      <c r="E9" s="123">
        <v>38192</v>
      </c>
      <c r="F9" s="128">
        <v>19764.91</v>
      </c>
      <c r="G9" s="126"/>
      <c r="H9" s="126"/>
      <c r="I9" s="126"/>
      <c r="J9" s="126"/>
      <c r="K9" s="126"/>
      <c r="L9" s="126"/>
      <c r="M9" s="126">
        <v>285</v>
      </c>
      <c r="N9" s="126">
        <v>36.69</v>
      </c>
      <c r="O9" s="126">
        <v>3399</v>
      </c>
      <c r="P9" s="126">
        <v>435.04</v>
      </c>
      <c r="Q9" s="126">
        <v>34508</v>
      </c>
      <c r="R9" s="126">
        <v>1249.19</v>
      </c>
      <c r="S9" s="126">
        <v>640</v>
      </c>
      <c r="T9" s="126">
        <v>15223.5</v>
      </c>
      <c r="U9" s="126"/>
      <c r="V9" s="126"/>
      <c r="W9" s="126">
        <v>46</v>
      </c>
      <c r="X9" s="126">
        <v>324.3</v>
      </c>
      <c r="Y9" s="128">
        <f t="shared" si="0"/>
        <v>1720.92</v>
      </c>
      <c r="Z9" s="128">
        <f t="shared" si="1"/>
        <v>15547.8</v>
      </c>
      <c r="AA9" s="128">
        <f t="shared" si="2"/>
        <v>2496.19</v>
      </c>
      <c r="AB9" s="3" t="s">
        <v>77</v>
      </c>
      <c r="AC9" s="60" t="s">
        <v>35</v>
      </c>
    </row>
    <row r="10" ht="34" spans="1:29">
      <c r="A10" s="55" t="s">
        <v>48</v>
      </c>
      <c r="B10" s="3" t="s">
        <v>46</v>
      </c>
      <c r="C10" s="3" t="s">
        <v>49</v>
      </c>
      <c r="D10" s="3">
        <v>29</v>
      </c>
      <c r="E10" s="123">
        <v>44803</v>
      </c>
      <c r="F10" s="128">
        <v>18580.72</v>
      </c>
      <c r="G10" s="126"/>
      <c r="H10" s="126"/>
      <c r="I10" s="126"/>
      <c r="J10" s="126"/>
      <c r="K10" s="126"/>
      <c r="L10" s="126"/>
      <c r="M10" s="126">
        <v>385</v>
      </c>
      <c r="N10" s="126">
        <v>49.77</v>
      </c>
      <c r="O10" s="126">
        <v>4449</v>
      </c>
      <c r="P10" s="126">
        <v>571.18</v>
      </c>
      <c r="Q10" s="126">
        <v>39969</v>
      </c>
      <c r="R10" s="126">
        <v>1460</v>
      </c>
      <c r="S10" s="126">
        <v>500</v>
      </c>
      <c r="T10" s="126">
        <v>12987.94</v>
      </c>
      <c r="U10" s="126"/>
      <c r="V10" s="126"/>
      <c r="W10" s="126">
        <v>170</v>
      </c>
      <c r="X10" s="126">
        <v>1199.67</v>
      </c>
      <c r="Y10" s="128">
        <f t="shared" si="0"/>
        <v>2080.95</v>
      </c>
      <c r="Z10" s="128">
        <f t="shared" si="1"/>
        <v>14187.61</v>
      </c>
      <c r="AA10" s="128">
        <f t="shared" si="2"/>
        <v>2312.16</v>
      </c>
      <c r="AB10" s="3" t="s">
        <v>78</v>
      </c>
      <c r="AC10" s="60" t="s">
        <v>35</v>
      </c>
    </row>
    <row r="11" ht="34" spans="1:29">
      <c r="A11" s="55" t="s">
        <v>51</v>
      </c>
      <c r="B11" s="3" t="s">
        <v>49</v>
      </c>
      <c r="C11" s="3" t="s">
        <v>52</v>
      </c>
      <c r="D11" s="3">
        <v>32</v>
      </c>
      <c r="E11" s="123">
        <v>34404</v>
      </c>
      <c r="F11" s="128">
        <v>15527.63</v>
      </c>
      <c r="G11" s="126"/>
      <c r="H11" s="126"/>
      <c r="I11" s="126"/>
      <c r="J11" s="126"/>
      <c r="K11" s="126"/>
      <c r="L11" s="126"/>
      <c r="M11" s="126">
        <v>415</v>
      </c>
      <c r="N11" s="126">
        <v>53.69</v>
      </c>
      <c r="O11" s="126">
        <v>3441</v>
      </c>
      <c r="P11" s="126">
        <v>442.48</v>
      </c>
      <c r="Q11" s="126">
        <v>30548</v>
      </c>
      <c r="R11" s="126">
        <v>1119.89</v>
      </c>
      <c r="S11" s="126">
        <v>442</v>
      </c>
      <c r="T11" s="126">
        <v>11164.64</v>
      </c>
      <c r="U11" s="126"/>
      <c r="V11" s="126"/>
      <c r="W11" s="126">
        <v>97</v>
      </c>
      <c r="X11" s="126">
        <v>684.82</v>
      </c>
      <c r="Y11" s="128">
        <f t="shared" si="0"/>
        <v>1616.06</v>
      </c>
      <c r="Z11" s="128">
        <f t="shared" si="1"/>
        <v>11849.46</v>
      </c>
      <c r="AA11" s="128">
        <f t="shared" si="2"/>
        <v>2062.11</v>
      </c>
      <c r="AB11" s="3" t="s">
        <v>79</v>
      </c>
      <c r="AC11" s="60" t="s">
        <v>35</v>
      </c>
    </row>
    <row r="12" ht="34" spans="1:29">
      <c r="A12" s="55" t="s">
        <v>55</v>
      </c>
      <c r="B12" s="3" t="s">
        <v>52</v>
      </c>
      <c r="C12" s="3" t="s">
        <v>56</v>
      </c>
      <c r="D12" s="3">
        <v>29</v>
      </c>
      <c r="E12" s="123">
        <v>45163</v>
      </c>
      <c r="F12" s="128">
        <v>16968.39</v>
      </c>
      <c r="G12" s="126"/>
      <c r="H12" s="126"/>
      <c r="I12" s="126"/>
      <c r="J12" s="126"/>
      <c r="K12" s="126"/>
      <c r="L12" s="126"/>
      <c r="M12" s="126">
        <v>298</v>
      </c>
      <c r="N12" s="126">
        <v>38.56</v>
      </c>
      <c r="O12" s="126">
        <v>4070</v>
      </c>
      <c r="P12" s="126">
        <v>523.36</v>
      </c>
      <c r="Q12" s="126">
        <v>40795</v>
      </c>
      <c r="R12" s="126">
        <v>1495.54</v>
      </c>
      <c r="S12" s="126">
        <v>466</v>
      </c>
      <c r="T12" s="126">
        <v>11641.9</v>
      </c>
      <c r="U12" s="126"/>
      <c r="V12" s="126"/>
      <c r="W12" s="126">
        <v>84</v>
      </c>
      <c r="X12" s="126">
        <v>593.04</v>
      </c>
      <c r="Y12" s="128">
        <f t="shared" si="0"/>
        <v>2057.46</v>
      </c>
      <c r="Z12" s="128">
        <f t="shared" si="1"/>
        <v>12234.94</v>
      </c>
      <c r="AA12" s="128">
        <f t="shared" si="2"/>
        <v>2675.99</v>
      </c>
      <c r="AB12" s="3" t="s">
        <v>80</v>
      </c>
      <c r="AC12" s="60" t="s">
        <v>35</v>
      </c>
    </row>
    <row r="13" ht="34" spans="1:29">
      <c r="A13" s="55" t="s">
        <v>58</v>
      </c>
      <c r="B13" s="3" t="s">
        <v>56</v>
      </c>
      <c r="C13" s="3" t="s">
        <v>59</v>
      </c>
      <c r="D13" s="3">
        <v>30</v>
      </c>
      <c r="E13" s="123">
        <v>41942</v>
      </c>
      <c r="F13" s="128">
        <v>17606.49</v>
      </c>
      <c r="G13" s="126">
        <v>198</v>
      </c>
      <c r="H13" s="126">
        <v>31.61</v>
      </c>
      <c r="I13" s="126">
        <v>58</v>
      </c>
      <c r="J13" s="126">
        <v>8.57</v>
      </c>
      <c r="K13" s="126">
        <v>24786</v>
      </c>
      <c r="L13" s="126">
        <v>2792.89</v>
      </c>
      <c r="M13" s="126">
        <v>122</v>
      </c>
      <c r="N13" s="126">
        <v>15.78</v>
      </c>
      <c r="O13" s="126">
        <v>1568</v>
      </c>
      <c r="P13" s="126">
        <v>201.63</v>
      </c>
      <c r="Q13" s="126">
        <v>15210</v>
      </c>
      <c r="R13" s="126">
        <v>557.6</v>
      </c>
      <c r="S13" s="126">
        <v>471</v>
      </c>
      <c r="T13" s="126">
        <v>11775.4</v>
      </c>
      <c r="U13" s="126">
        <v>36</v>
      </c>
      <c r="V13" s="126">
        <v>490.2</v>
      </c>
      <c r="W13" s="126">
        <v>19</v>
      </c>
      <c r="X13" s="126">
        <v>49.18</v>
      </c>
      <c r="Y13" s="128">
        <f t="shared" si="0"/>
        <v>3608.08</v>
      </c>
      <c r="Z13" s="128">
        <f t="shared" si="1"/>
        <v>12314.78</v>
      </c>
      <c r="AA13" s="128">
        <f t="shared" si="2"/>
        <v>1683.63</v>
      </c>
      <c r="AB13" s="3" t="s">
        <v>81</v>
      </c>
      <c r="AC13" s="60" t="s">
        <v>35</v>
      </c>
    </row>
    <row r="14" ht="34" spans="1:29">
      <c r="A14" s="55" t="s">
        <v>61</v>
      </c>
      <c r="B14" s="3" t="s">
        <v>59</v>
      </c>
      <c r="C14" s="3" t="s">
        <v>62</v>
      </c>
      <c r="D14" s="3">
        <v>33</v>
      </c>
      <c r="E14" s="123">
        <v>68386</v>
      </c>
      <c r="F14" s="128">
        <v>28541.31</v>
      </c>
      <c r="G14" s="126">
        <v>625</v>
      </c>
      <c r="H14" s="126">
        <v>99.79</v>
      </c>
      <c r="I14" s="126">
        <v>192</v>
      </c>
      <c r="J14" s="126">
        <v>28.39</v>
      </c>
      <c r="K14" s="126">
        <v>67569</v>
      </c>
      <c r="L14" s="126">
        <v>7613.67</v>
      </c>
      <c r="M14" s="126"/>
      <c r="N14" s="126"/>
      <c r="O14" s="126"/>
      <c r="P14" s="126"/>
      <c r="Q14" s="126"/>
      <c r="R14" s="126"/>
      <c r="S14" s="126">
        <v>725</v>
      </c>
      <c r="T14" s="126">
        <v>18496</v>
      </c>
      <c r="U14" s="126">
        <v>53</v>
      </c>
      <c r="V14" s="126">
        <v>1139.5</v>
      </c>
      <c r="W14" s="126"/>
      <c r="X14" s="126"/>
      <c r="Y14" s="128">
        <f t="shared" si="0"/>
        <v>7741.85</v>
      </c>
      <c r="Z14" s="128">
        <f t="shared" si="1"/>
        <v>19635.5</v>
      </c>
      <c r="AA14" s="128">
        <f t="shared" si="2"/>
        <v>1163.96</v>
      </c>
      <c r="AB14" s="3" t="s">
        <v>82</v>
      </c>
      <c r="AC14" s="60" t="s">
        <v>35</v>
      </c>
    </row>
    <row r="15" ht="34" spans="1:29">
      <c r="A15" s="55" t="s">
        <v>64</v>
      </c>
      <c r="B15" s="3" t="s">
        <v>62</v>
      </c>
      <c r="C15" s="3" t="s">
        <v>65</v>
      </c>
      <c r="D15" s="3">
        <v>29</v>
      </c>
      <c r="E15" s="123">
        <v>67656</v>
      </c>
      <c r="F15" s="128">
        <v>29001.91</v>
      </c>
      <c r="G15" s="126">
        <v>3285</v>
      </c>
      <c r="H15" s="126">
        <v>524.48</v>
      </c>
      <c r="I15" s="126">
        <v>152</v>
      </c>
      <c r="J15" s="126">
        <v>22.47</v>
      </c>
      <c r="K15" s="126">
        <v>64219</v>
      </c>
      <c r="L15" s="126">
        <v>7236.2</v>
      </c>
      <c r="M15" s="126"/>
      <c r="N15" s="126"/>
      <c r="O15" s="126"/>
      <c r="P15" s="126"/>
      <c r="Q15" s="126"/>
      <c r="R15" s="126"/>
      <c r="S15" s="126">
        <v>705</v>
      </c>
      <c r="T15" s="126">
        <v>18490.2</v>
      </c>
      <c r="U15" s="126">
        <v>75</v>
      </c>
      <c r="V15" s="126">
        <v>1612.5</v>
      </c>
      <c r="W15" s="126"/>
      <c r="X15" s="126"/>
      <c r="Y15" s="128">
        <f t="shared" si="0"/>
        <v>7783.15</v>
      </c>
      <c r="Z15" s="128">
        <f t="shared" si="1"/>
        <v>20102.7</v>
      </c>
      <c r="AA15" s="128">
        <f t="shared" si="2"/>
        <v>1116.06</v>
      </c>
      <c r="AB15" s="3" t="s">
        <v>83</v>
      </c>
      <c r="AC15" s="60" t="s">
        <v>35</v>
      </c>
    </row>
    <row r="16" ht="34" spans="1:29">
      <c r="A16" s="55" t="s">
        <v>67</v>
      </c>
      <c r="B16" s="3" t="s">
        <v>65</v>
      </c>
      <c r="C16" s="3" t="s">
        <v>68</v>
      </c>
      <c r="D16" s="3">
        <v>30</v>
      </c>
      <c r="E16" s="123">
        <v>73315</v>
      </c>
      <c r="F16" s="128">
        <v>31196.61</v>
      </c>
      <c r="G16" s="126">
        <v>2605</v>
      </c>
      <c r="H16" s="126">
        <v>415.92</v>
      </c>
      <c r="I16" s="126">
        <v>175</v>
      </c>
      <c r="J16" s="126">
        <v>25.87</v>
      </c>
      <c r="K16" s="126">
        <v>70535</v>
      </c>
      <c r="L16" s="126">
        <v>7947.88</v>
      </c>
      <c r="M16" s="126"/>
      <c r="N16" s="126"/>
      <c r="O16" s="126"/>
      <c r="P16" s="126"/>
      <c r="Q16" s="126"/>
      <c r="R16" s="126"/>
      <c r="S16" s="126">
        <v>730</v>
      </c>
      <c r="T16" s="126">
        <v>19583.2</v>
      </c>
      <c r="U16" s="126">
        <v>98</v>
      </c>
      <c r="V16" s="126">
        <v>2107</v>
      </c>
      <c r="W16" s="126"/>
      <c r="X16" s="126"/>
      <c r="Y16" s="128">
        <f t="shared" si="0"/>
        <v>8389.67</v>
      </c>
      <c r="Z16" s="128">
        <f t="shared" si="1"/>
        <v>21690.2</v>
      </c>
      <c r="AA16" s="128">
        <f t="shared" si="2"/>
        <v>1116.74</v>
      </c>
      <c r="AB16" s="3" t="s">
        <v>84</v>
      </c>
      <c r="AC16" s="60" t="s">
        <v>35</v>
      </c>
    </row>
    <row r="17" ht="17" spans="1:29">
      <c r="A17" s="102" t="s">
        <v>70</v>
      </c>
      <c r="B17" s="124"/>
      <c r="C17" s="124"/>
      <c r="D17" s="124"/>
      <c r="E17" s="125">
        <f t="shared" ref="E17:R17" si="3">SUM(E5:E16)</f>
        <v>592443</v>
      </c>
      <c r="F17" s="129">
        <f t="shared" si="3"/>
        <v>252637.06</v>
      </c>
      <c r="G17" s="127">
        <f t="shared" si="3"/>
        <v>6799</v>
      </c>
      <c r="H17" s="127">
        <f t="shared" si="3"/>
        <v>1086.75</v>
      </c>
      <c r="I17" s="127">
        <f t="shared" si="3"/>
        <v>614</v>
      </c>
      <c r="J17" s="127">
        <f t="shared" si="3"/>
        <v>91.23</v>
      </c>
      <c r="K17" s="127">
        <f t="shared" si="3"/>
        <v>243961</v>
      </c>
      <c r="L17" s="127">
        <f t="shared" si="3"/>
        <v>27592.83</v>
      </c>
      <c r="M17" s="127">
        <f t="shared" si="3"/>
        <v>2750</v>
      </c>
      <c r="N17" s="127">
        <f t="shared" si="3"/>
        <v>358.91</v>
      </c>
      <c r="O17" s="127">
        <f t="shared" si="3"/>
        <v>31060</v>
      </c>
      <c r="P17" s="127">
        <f t="shared" si="3"/>
        <v>4028.85</v>
      </c>
      <c r="Q17" s="127">
        <f t="shared" si="3"/>
        <v>307259</v>
      </c>
      <c r="R17" s="127">
        <f t="shared" si="3"/>
        <v>10466.71</v>
      </c>
      <c r="S17" s="124"/>
      <c r="T17" s="124"/>
      <c r="U17" s="124"/>
      <c r="V17" s="124"/>
      <c r="W17" s="124"/>
      <c r="X17" s="124"/>
      <c r="Y17" s="129">
        <f>SUM(Y5:Y16)</f>
        <v>43625.28</v>
      </c>
      <c r="Z17" s="129">
        <f>SUM(Z5:Z16)</f>
        <v>184215.64</v>
      </c>
      <c r="AA17" s="129">
        <f>SUM(AA5:AA16)</f>
        <v>24796.14</v>
      </c>
      <c r="AB17" s="124"/>
      <c r="AC17" s="104"/>
    </row>
  </sheetData>
  <mergeCells count="2">
    <mergeCell ref="A1:AC1"/>
    <mergeCell ref="A2:AC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7"/>
  <sheetViews>
    <sheetView zoomScale="95" zoomScaleNormal="95" workbookViewId="0">
      <selection activeCell="B7" sqref="B7"/>
    </sheetView>
  </sheetViews>
  <sheetFormatPr defaultColWidth="9" defaultRowHeight="16.8"/>
  <cols>
    <col min="1" max="3" width="14" customWidth="1"/>
    <col min="4" max="10" width="16" customWidth="1"/>
    <col min="11" max="20" width="18" customWidth="1"/>
    <col min="21" max="21" width="28" customWidth="1"/>
    <col min="22" max="22" width="42" customWidth="1"/>
  </cols>
  <sheetData>
    <row r="1" ht="23.2" spans="1:22">
      <c r="A1" s="120" t="s">
        <v>85</v>
      </c>
      <c r="B1" s="120"/>
      <c r="C1" s="120"/>
      <c r="D1" s="120"/>
      <c r="E1" s="120"/>
      <c r="F1" s="120"/>
      <c r="G1" s="120"/>
      <c r="H1" s="120"/>
      <c r="I1" s="120"/>
      <c r="J1" s="120"/>
      <c r="K1" s="120"/>
      <c r="L1" s="120"/>
      <c r="M1" s="120"/>
      <c r="N1" s="120"/>
      <c r="O1" s="120"/>
      <c r="P1" s="120"/>
      <c r="Q1" s="120"/>
      <c r="R1" s="120"/>
      <c r="S1" s="120"/>
      <c r="T1" s="120"/>
      <c r="U1" s="120"/>
      <c r="V1" s="120"/>
    </row>
    <row r="2" spans="1:22">
      <c r="A2" s="100" t="s">
        <v>86</v>
      </c>
      <c r="B2" s="100"/>
      <c r="C2" s="100"/>
      <c r="D2" s="100"/>
      <c r="E2" s="100"/>
      <c r="F2" s="100"/>
      <c r="G2" s="100"/>
      <c r="H2" s="100"/>
      <c r="I2" s="100"/>
      <c r="J2" s="100"/>
      <c r="K2" s="100"/>
      <c r="L2" s="100"/>
      <c r="M2" s="100"/>
      <c r="N2" s="100"/>
      <c r="O2" s="100"/>
      <c r="P2" s="100"/>
      <c r="Q2" s="100"/>
      <c r="R2" s="100"/>
      <c r="S2" s="100"/>
      <c r="T2" s="100"/>
      <c r="U2" s="100"/>
      <c r="V2" s="100"/>
    </row>
    <row r="3" spans="1:22">
      <c r="A3" s="3"/>
      <c r="B3" s="3"/>
      <c r="C3" s="3"/>
      <c r="D3" s="3"/>
      <c r="E3" s="3"/>
      <c r="F3" s="3"/>
      <c r="G3" s="3"/>
      <c r="H3" s="3"/>
      <c r="I3" s="3"/>
      <c r="J3" s="3"/>
      <c r="K3" s="3"/>
      <c r="L3" s="3"/>
      <c r="M3" s="3"/>
      <c r="N3" s="3"/>
      <c r="O3" s="3"/>
      <c r="P3" s="3"/>
      <c r="Q3" s="3"/>
      <c r="R3" s="3"/>
      <c r="S3" s="3"/>
      <c r="T3" s="3"/>
      <c r="U3" s="3"/>
      <c r="V3" s="3"/>
    </row>
    <row r="4" ht="34" spans="1:22">
      <c r="A4" s="121" t="s">
        <v>2</v>
      </c>
      <c r="B4" s="122" t="s">
        <v>3</v>
      </c>
      <c r="C4" s="122" t="s">
        <v>4</v>
      </c>
      <c r="D4" s="122" t="s">
        <v>87</v>
      </c>
      <c r="E4" s="122" t="s">
        <v>88</v>
      </c>
      <c r="F4" s="122" t="s">
        <v>89</v>
      </c>
      <c r="G4" s="122" t="s">
        <v>90</v>
      </c>
      <c r="H4" s="122" t="s">
        <v>91</v>
      </c>
      <c r="I4" s="122" t="s">
        <v>92</v>
      </c>
      <c r="J4" s="122" t="s">
        <v>93</v>
      </c>
      <c r="K4" s="122" t="s">
        <v>94</v>
      </c>
      <c r="L4" s="122" t="s">
        <v>95</v>
      </c>
      <c r="M4" s="122" t="s">
        <v>96</v>
      </c>
      <c r="N4" s="122" t="s">
        <v>97</v>
      </c>
      <c r="O4" s="122" t="s">
        <v>98</v>
      </c>
      <c r="P4" s="122" t="s">
        <v>99</v>
      </c>
      <c r="Q4" s="122" t="s">
        <v>27</v>
      </c>
      <c r="R4" s="122" t="s">
        <v>7</v>
      </c>
      <c r="S4" s="122" t="s">
        <v>28</v>
      </c>
      <c r="T4" s="122" t="s">
        <v>100</v>
      </c>
      <c r="U4" s="122" t="s">
        <v>30</v>
      </c>
      <c r="V4" s="130" t="s">
        <v>101</v>
      </c>
    </row>
    <row r="5" ht="34" spans="1:22">
      <c r="A5" s="55" t="s">
        <v>31</v>
      </c>
      <c r="B5" s="3" t="s">
        <v>32</v>
      </c>
      <c r="C5" s="3" t="s">
        <v>33</v>
      </c>
      <c r="D5" s="123">
        <v>7569</v>
      </c>
      <c r="E5" s="123">
        <v>42448</v>
      </c>
      <c r="F5" s="123">
        <f t="shared" ref="F5:F16" si="0">D5+E5</f>
        <v>50017</v>
      </c>
      <c r="G5" s="123">
        <f>'Meter1 TOU Detail'!G5+'Meter2 TOU Detail'!G5</f>
        <v>444</v>
      </c>
      <c r="H5" s="123">
        <f>SUM('Meter1 TOU Detail'!I5,'Meter1 TOU Detail'!M5,'Meter2 TOU Detail'!I5,'Meter2 TOU Detail'!M5)</f>
        <v>1257</v>
      </c>
      <c r="I5" s="123">
        <f>SUM('Meter1 TOU Detail'!K5,'Meter1 TOU Detail'!O5,'Meter2 TOU Detail'!K5,'Meter2 TOU Detail'!O5)</f>
        <v>23266</v>
      </c>
      <c r="J5" s="123">
        <f>'Meter1 TOU Detail'!Q5+'Meter2 TOU Detail'!Q5</f>
        <v>25050</v>
      </c>
      <c r="K5" s="126">
        <f>'Meter1 TOU Detail'!S5</f>
        <v>32</v>
      </c>
      <c r="L5" s="126">
        <f>'Meter2 TOU Detail'!S5</f>
        <v>552</v>
      </c>
      <c r="M5" s="126">
        <f t="shared" ref="M5:M16" si="1">MAX(K5:L5)</f>
        <v>552</v>
      </c>
      <c r="N5" s="126">
        <f>MAX('Meter1 TOU Detail'!U5,'Meter1 TOU Detail'!W5)</f>
        <v>24</v>
      </c>
      <c r="O5" s="126">
        <f>MAX('Meter2 TOU Detail'!U5,'Meter2 TOU Detail'!W5)</f>
        <v>142</v>
      </c>
      <c r="P5" s="128">
        <f>'Meter1 TOU Detail'!Y5+'Meter2 TOU Detail'!Y5</f>
        <v>4394.39</v>
      </c>
      <c r="Q5" s="128">
        <f>'Meter1 TOU Detail'!Z5+'Meter2 TOU Detail'!Z5</f>
        <v>14230.24</v>
      </c>
      <c r="R5" s="128">
        <f>'Meter1 TOU Detail'!F5+'Meter2 TOU Detail'!F5</f>
        <v>20573.23</v>
      </c>
      <c r="S5" s="128">
        <f t="shared" ref="S5:S16" si="2">R5-P5-Q5</f>
        <v>1948.6</v>
      </c>
      <c r="T5" s="123">
        <f t="shared" ref="T5:T16" si="3">SUM(G5:J5)-F5</f>
        <v>0</v>
      </c>
      <c r="U5" s="3" t="s">
        <v>35</v>
      </c>
      <c r="V5" s="60" t="s">
        <v>102</v>
      </c>
    </row>
    <row r="6" ht="34" spans="1:22">
      <c r="A6" s="55" t="s">
        <v>36</v>
      </c>
      <c r="B6" s="3" t="s">
        <v>33</v>
      </c>
      <c r="C6" s="3" t="s">
        <v>37</v>
      </c>
      <c r="D6" s="123">
        <v>9408</v>
      </c>
      <c r="E6" s="123">
        <v>51688</v>
      </c>
      <c r="F6" s="123">
        <f t="shared" si="0"/>
        <v>61096</v>
      </c>
      <c r="G6" s="123">
        <f>'Meter1 TOU Detail'!G6+'Meter2 TOU Detail'!G6</f>
        <v>0</v>
      </c>
      <c r="H6" s="123">
        <f>SUM('Meter1 TOU Detail'!I6,'Meter1 TOU Detail'!M6,'Meter2 TOU Detail'!I6,'Meter2 TOU Detail'!M6)</f>
        <v>1654</v>
      </c>
      <c r="I6" s="123">
        <f>SUM('Meter1 TOU Detail'!K6,'Meter1 TOU Detail'!O6,'Meter2 TOU Detail'!K6,'Meter2 TOU Detail'!O6)</f>
        <v>7943</v>
      </c>
      <c r="J6" s="123">
        <f>'Meter1 TOU Detail'!Q6+'Meter2 TOU Detail'!Q6</f>
        <v>51499</v>
      </c>
      <c r="K6" s="126">
        <f>'Meter1 TOU Detail'!S6</f>
        <v>39</v>
      </c>
      <c r="L6" s="126">
        <f>'Meter2 TOU Detail'!S6</f>
        <v>622</v>
      </c>
      <c r="M6" s="126">
        <f t="shared" si="1"/>
        <v>622</v>
      </c>
      <c r="N6" s="126">
        <f>MAX('Meter1 TOU Detail'!U6,'Meter1 TOU Detail'!W6)</f>
        <v>24</v>
      </c>
      <c r="O6" s="126">
        <f>MAX('Meter2 TOU Detail'!U6,'Meter2 TOU Detail'!W6)</f>
        <v>47</v>
      </c>
      <c r="P6" s="128">
        <f>'Meter1 TOU Detail'!Y6+'Meter2 TOU Detail'!Y6</f>
        <v>3045.26</v>
      </c>
      <c r="Q6" s="128">
        <f>'Meter1 TOU Detail'!Z6+'Meter2 TOU Detail'!Z6</f>
        <v>15037.2</v>
      </c>
      <c r="R6" s="128">
        <f>'Meter1 TOU Detail'!F6+'Meter2 TOU Detail'!F6</f>
        <v>21848.14</v>
      </c>
      <c r="S6" s="128">
        <f t="shared" si="2"/>
        <v>3765.68</v>
      </c>
      <c r="T6" s="123">
        <f t="shared" si="3"/>
        <v>0</v>
      </c>
      <c r="U6" s="3" t="s">
        <v>35</v>
      </c>
      <c r="V6" s="60" t="s">
        <v>102</v>
      </c>
    </row>
    <row r="7" ht="34" spans="1:22">
      <c r="A7" s="55" t="s">
        <v>39</v>
      </c>
      <c r="B7" s="3" t="s">
        <v>37</v>
      </c>
      <c r="C7" s="3" t="s">
        <v>40</v>
      </c>
      <c r="D7" s="123">
        <v>11409</v>
      </c>
      <c r="E7" s="123">
        <v>41843</v>
      </c>
      <c r="F7" s="123">
        <f t="shared" si="0"/>
        <v>53252</v>
      </c>
      <c r="G7" s="123">
        <f>'Meter1 TOU Detail'!G7+'Meter2 TOU Detail'!G7</f>
        <v>0</v>
      </c>
      <c r="H7" s="123">
        <f>SUM('Meter1 TOU Detail'!I7,'Meter1 TOU Detail'!M7,'Meter2 TOU Detail'!I7,'Meter2 TOU Detail'!M7)</f>
        <v>2024</v>
      </c>
      <c r="I7" s="123">
        <f>SUM('Meter1 TOU Detail'!K7,'Meter1 TOU Detail'!O7,'Meter2 TOU Detail'!K7,'Meter2 TOU Detail'!O7)</f>
        <v>9061</v>
      </c>
      <c r="J7" s="123">
        <f>'Meter1 TOU Detail'!Q7+'Meter2 TOU Detail'!Q7</f>
        <v>42167</v>
      </c>
      <c r="K7" s="126">
        <f>'Meter1 TOU Detail'!S7</f>
        <v>43</v>
      </c>
      <c r="L7" s="126">
        <f>'Meter2 TOU Detail'!S7</f>
        <v>513</v>
      </c>
      <c r="M7" s="126">
        <f t="shared" si="1"/>
        <v>513</v>
      </c>
      <c r="N7" s="126">
        <f>MAX('Meter1 TOU Detail'!U7,'Meter1 TOU Detail'!W7)</f>
        <v>26</v>
      </c>
      <c r="O7" s="126">
        <f>MAX('Meter2 TOU Detail'!U7,'Meter2 TOU Detail'!W7)</f>
        <v>115</v>
      </c>
      <c r="P7" s="128">
        <f>'Meter1 TOU Detail'!Y7+'Meter2 TOU Detail'!Y7</f>
        <v>3003.59</v>
      </c>
      <c r="Q7" s="128">
        <f>'Meter1 TOU Detail'!Z7+'Meter2 TOU Detail'!Z7</f>
        <v>13768.43</v>
      </c>
      <c r="R7" s="128">
        <f>'Meter1 TOU Detail'!F7+'Meter2 TOU Detail'!F7</f>
        <v>19600.83</v>
      </c>
      <c r="S7" s="128">
        <f t="shared" si="2"/>
        <v>2828.81</v>
      </c>
      <c r="T7" s="123">
        <f t="shared" si="3"/>
        <v>0</v>
      </c>
      <c r="U7" s="3" t="s">
        <v>35</v>
      </c>
      <c r="V7" s="60" t="s">
        <v>102</v>
      </c>
    </row>
    <row r="8" ht="34" spans="1:22">
      <c r="A8" s="55" t="s">
        <v>42</v>
      </c>
      <c r="B8" s="3" t="s">
        <v>40</v>
      </c>
      <c r="C8" s="3" t="s">
        <v>43</v>
      </c>
      <c r="D8" s="123">
        <v>12241</v>
      </c>
      <c r="E8" s="123">
        <v>42603</v>
      </c>
      <c r="F8" s="123">
        <f t="shared" si="0"/>
        <v>54844</v>
      </c>
      <c r="G8" s="123">
        <f>'Meter1 TOU Detail'!G8+'Meter2 TOU Detail'!G8</f>
        <v>0</v>
      </c>
      <c r="H8" s="123">
        <f>SUM('Meter1 TOU Detail'!I8,'Meter1 TOU Detail'!M8,'Meter2 TOU Detail'!I8,'Meter2 TOU Detail'!M8)</f>
        <v>2137</v>
      </c>
      <c r="I8" s="123">
        <f>SUM('Meter1 TOU Detail'!K8,'Meter1 TOU Detail'!O8,'Meter2 TOU Detail'!K8,'Meter2 TOU Detail'!O8)</f>
        <v>9236</v>
      </c>
      <c r="J8" s="123">
        <f>'Meter1 TOU Detail'!Q8+'Meter2 TOU Detail'!Q8</f>
        <v>43471</v>
      </c>
      <c r="K8" s="126">
        <f>'Meter1 TOU Detail'!S8</f>
        <v>44</v>
      </c>
      <c r="L8" s="126">
        <f>'Meter2 TOU Detail'!S8</f>
        <v>655</v>
      </c>
      <c r="M8" s="126">
        <f t="shared" si="1"/>
        <v>655</v>
      </c>
      <c r="N8" s="126">
        <f>MAX('Meter1 TOU Detail'!U8,'Meter1 TOU Detail'!W8)</f>
        <v>24</v>
      </c>
      <c r="O8" s="126">
        <f>MAX('Meter2 TOU Detail'!U8,'Meter2 TOU Detail'!W8)</f>
        <v>43</v>
      </c>
      <c r="P8" s="128">
        <f>'Meter1 TOU Detail'!Y8+'Meter2 TOU Detail'!Y8</f>
        <v>3229.29</v>
      </c>
      <c r="Q8" s="128">
        <f>'Meter1 TOU Detail'!Z8+'Meter2 TOU Detail'!Z8</f>
        <v>16264.68</v>
      </c>
      <c r="R8" s="128">
        <f>'Meter1 TOU Detail'!F8+'Meter2 TOU Detail'!F8</f>
        <v>22744.7</v>
      </c>
      <c r="S8" s="128">
        <f t="shared" si="2"/>
        <v>3250.73</v>
      </c>
      <c r="T8" s="123">
        <f t="shared" si="3"/>
        <v>0</v>
      </c>
      <c r="U8" s="3" t="s">
        <v>35</v>
      </c>
      <c r="V8" s="60" t="s">
        <v>102</v>
      </c>
    </row>
    <row r="9" ht="34" spans="1:22">
      <c r="A9" s="55" t="s">
        <v>45</v>
      </c>
      <c r="B9" s="3" t="s">
        <v>43</v>
      </c>
      <c r="C9" s="3" t="s">
        <v>46</v>
      </c>
      <c r="D9" s="123">
        <v>10734</v>
      </c>
      <c r="E9" s="123">
        <v>38192</v>
      </c>
      <c r="F9" s="123">
        <f t="shared" si="0"/>
        <v>48926</v>
      </c>
      <c r="G9" s="123">
        <f>'Meter1 TOU Detail'!G9+'Meter2 TOU Detail'!G9</f>
        <v>0</v>
      </c>
      <c r="H9" s="123">
        <f>SUM('Meter1 TOU Detail'!I9,'Meter1 TOU Detail'!M9,'Meter2 TOU Detail'!I9,'Meter2 TOU Detail'!M9)</f>
        <v>1802</v>
      </c>
      <c r="I9" s="123">
        <f>SUM('Meter1 TOU Detail'!K9,'Meter1 TOU Detail'!O9,'Meter2 TOU Detail'!K9,'Meter2 TOU Detail'!O9)</f>
        <v>7990</v>
      </c>
      <c r="J9" s="123">
        <f>'Meter1 TOU Detail'!Q9+'Meter2 TOU Detail'!Q9</f>
        <v>39134</v>
      </c>
      <c r="K9" s="126">
        <f>'Meter1 TOU Detail'!S9</f>
        <v>46</v>
      </c>
      <c r="L9" s="126">
        <f>'Meter2 TOU Detail'!S9</f>
        <v>640</v>
      </c>
      <c r="M9" s="126">
        <f t="shared" si="1"/>
        <v>640</v>
      </c>
      <c r="N9" s="126">
        <f>MAX('Meter1 TOU Detail'!U9,'Meter1 TOU Detail'!W9)</f>
        <v>27</v>
      </c>
      <c r="O9" s="126">
        <f>MAX('Meter2 TOU Detail'!U9,'Meter2 TOU Detail'!W9)</f>
        <v>46</v>
      </c>
      <c r="P9" s="128">
        <f>'Meter1 TOU Detail'!Y9+'Meter2 TOU Detail'!Y9</f>
        <v>2906.09</v>
      </c>
      <c r="Q9" s="128">
        <f>'Meter1 TOU Detail'!Z9+'Meter2 TOU Detail'!Z9</f>
        <v>16287.34</v>
      </c>
      <c r="R9" s="128">
        <f>'Meter1 TOU Detail'!F9+'Meter2 TOU Detail'!F9</f>
        <v>22141.84</v>
      </c>
      <c r="S9" s="128">
        <f t="shared" si="2"/>
        <v>2948.41</v>
      </c>
      <c r="T9" s="123">
        <f t="shared" si="3"/>
        <v>0</v>
      </c>
      <c r="U9" s="3" t="s">
        <v>35</v>
      </c>
      <c r="V9" s="60" t="s">
        <v>102</v>
      </c>
    </row>
    <row r="10" ht="34" spans="1:22">
      <c r="A10" s="55" t="s">
        <v>48</v>
      </c>
      <c r="B10" s="3" t="s">
        <v>46</v>
      </c>
      <c r="C10" s="3" t="s">
        <v>49</v>
      </c>
      <c r="D10" s="123">
        <v>7646</v>
      </c>
      <c r="E10" s="123">
        <v>44803</v>
      </c>
      <c r="F10" s="123">
        <f t="shared" si="0"/>
        <v>52449</v>
      </c>
      <c r="G10" s="123">
        <f>'Meter1 TOU Detail'!G10+'Meter2 TOU Detail'!G10</f>
        <v>0</v>
      </c>
      <c r="H10" s="123">
        <f>SUM('Meter1 TOU Detail'!I10,'Meter1 TOU Detail'!M10,'Meter2 TOU Detail'!I10,'Meter2 TOU Detail'!M10)</f>
        <v>1437</v>
      </c>
      <c r="I10" s="123">
        <f>SUM('Meter1 TOU Detail'!K10,'Meter1 TOU Detail'!O10,'Meter2 TOU Detail'!K10,'Meter2 TOU Detail'!O10)</f>
        <v>7826</v>
      </c>
      <c r="J10" s="123">
        <f>'Meter1 TOU Detail'!Q10+'Meter2 TOU Detail'!Q10</f>
        <v>43186</v>
      </c>
      <c r="K10" s="126">
        <f>'Meter1 TOU Detail'!S10</f>
        <v>36</v>
      </c>
      <c r="L10" s="126">
        <f>'Meter2 TOU Detail'!S10</f>
        <v>500</v>
      </c>
      <c r="M10" s="126">
        <f t="shared" si="1"/>
        <v>500</v>
      </c>
      <c r="N10" s="126">
        <f>MAX('Meter1 TOU Detail'!U10,'Meter1 TOU Detail'!W10)</f>
        <v>16</v>
      </c>
      <c r="O10" s="126">
        <f>MAX('Meter2 TOU Detail'!U10,'Meter2 TOU Detail'!W10)</f>
        <v>170</v>
      </c>
      <c r="P10" s="128">
        <f>'Meter1 TOU Detail'!Y10+'Meter2 TOU Detail'!Y10</f>
        <v>2933.55</v>
      </c>
      <c r="Q10" s="128">
        <f>'Meter1 TOU Detail'!Z10+'Meter2 TOU Detail'!Z10</f>
        <v>14743.12</v>
      </c>
      <c r="R10" s="128">
        <f>'Meter1 TOU Detail'!F10+'Meter2 TOU Detail'!F10</f>
        <v>20383.4</v>
      </c>
      <c r="S10" s="128">
        <f t="shared" si="2"/>
        <v>2706.73</v>
      </c>
      <c r="T10" s="123">
        <f t="shared" si="3"/>
        <v>0</v>
      </c>
      <c r="U10" s="3" t="s">
        <v>35</v>
      </c>
      <c r="V10" s="60" t="s">
        <v>102</v>
      </c>
    </row>
    <row r="11" ht="34" spans="1:22">
      <c r="A11" s="55" t="s">
        <v>51</v>
      </c>
      <c r="B11" s="3" t="s">
        <v>49</v>
      </c>
      <c r="C11" s="3" t="s">
        <v>52</v>
      </c>
      <c r="D11" s="123">
        <v>6348</v>
      </c>
      <c r="E11" s="123">
        <v>34404</v>
      </c>
      <c r="F11" s="123">
        <f t="shared" si="0"/>
        <v>40752</v>
      </c>
      <c r="G11" s="123">
        <f>'Meter1 TOU Detail'!G11+'Meter2 TOU Detail'!G11</f>
        <v>0</v>
      </c>
      <c r="H11" s="123">
        <f>SUM('Meter1 TOU Detail'!I11,'Meter1 TOU Detail'!M11,'Meter2 TOU Detail'!I11,'Meter2 TOU Detail'!M11)</f>
        <v>1317</v>
      </c>
      <c r="I11" s="123">
        <f>SUM('Meter1 TOU Detail'!K11,'Meter1 TOU Detail'!O11,'Meter2 TOU Detail'!K11,'Meter2 TOU Detail'!O11)</f>
        <v>6094</v>
      </c>
      <c r="J11" s="123">
        <f>'Meter1 TOU Detail'!Q11+'Meter2 TOU Detail'!Q11</f>
        <v>33341</v>
      </c>
      <c r="K11" s="126">
        <f>'Meter1 TOU Detail'!S11</f>
        <v>28</v>
      </c>
      <c r="L11" s="126">
        <f>'Meter2 TOU Detail'!S11</f>
        <v>442</v>
      </c>
      <c r="M11" s="126">
        <f t="shared" si="1"/>
        <v>442</v>
      </c>
      <c r="N11" s="126">
        <f>MAX('Meter1 TOU Detail'!U11,'Meter1 TOU Detail'!W11)</f>
        <v>20</v>
      </c>
      <c r="O11" s="126">
        <f>MAX('Meter2 TOU Detail'!U11,'Meter2 TOU Detail'!W11)</f>
        <v>97</v>
      </c>
      <c r="P11" s="128">
        <f>'Meter1 TOU Detail'!Y11+'Meter2 TOU Detail'!Y11</f>
        <v>2317.62</v>
      </c>
      <c r="Q11" s="128">
        <f>'Meter1 TOU Detail'!Z11+'Meter2 TOU Detail'!Z11</f>
        <v>12325.74</v>
      </c>
      <c r="R11" s="128">
        <f>'Meter1 TOU Detail'!F11+'Meter2 TOU Detail'!F11</f>
        <v>17060.06</v>
      </c>
      <c r="S11" s="128">
        <f t="shared" si="2"/>
        <v>2416.7</v>
      </c>
      <c r="T11" s="123">
        <f t="shared" si="3"/>
        <v>0</v>
      </c>
      <c r="U11" s="3" t="s">
        <v>35</v>
      </c>
      <c r="V11" s="60" t="s">
        <v>102</v>
      </c>
    </row>
    <row r="12" s="119" customFormat="1" ht="84" spans="1:22">
      <c r="A12" s="55" t="s">
        <v>55</v>
      </c>
      <c r="B12" s="3" t="s">
        <v>52</v>
      </c>
      <c r="C12" s="3" t="s">
        <v>56</v>
      </c>
      <c r="D12" s="123">
        <v>6057</v>
      </c>
      <c r="E12" s="123">
        <v>45163</v>
      </c>
      <c r="F12" s="123">
        <f t="shared" si="0"/>
        <v>51220</v>
      </c>
      <c r="G12" s="123">
        <f>'Meter1 TOU Detail'!G12+'Meter2 TOU Detail'!G12</f>
        <v>403.833237303482</v>
      </c>
      <c r="H12" s="123">
        <f>SUM('Meter1 TOU Detail'!I12,'Meter1 TOU Detail'!M12,'Meter2 TOU Detail'!I12,'Meter2 TOU Detail'!M12)</f>
        <v>876.329080582764</v>
      </c>
      <c r="I12" s="123">
        <f>SUM('Meter1 TOU Detail'!K12,'Meter1 TOU Detail'!O12,'Meter2 TOU Detail'!K12,'Meter2 TOU Detail'!O12)</f>
        <v>7752.36085274508</v>
      </c>
      <c r="J12" s="123">
        <f>'Meter1 TOU Detail'!Q12+'Meter2 TOU Detail'!Q12</f>
        <v>42187.4768293687</v>
      </c>
      <c r="K12" s="126">
        <f>'Meter1 TOU Detail'!S12</f>
        <v>34.5</v>
      </c>
      <c r="L12" s="126">
        <f>'Meter2 TOU Detail'!S12</f>
        <v>466</v>
      </c>
      <c r="M12" s="126">
        <f t="shared" si="1"/>
        <v>466</v>
      </c>
      <c r="N12" s="126">
        <f>MAX('Meter1 TOU Detail'!U12,'Meter1 TOU Detail'!W12)</f>
        <v>29</v>
      </c>
      <c r="O12" s="126">
        <f>MAX('Meter2 TOU Detail'!U12,'Meter2 TOU Detail'!W12)</f>
        <v>84</v>
      </c>
      <c r="P12" s="128">
        <f>'Meter1 TOU Detail'!Y12+'Meter2 TOU Detail'!Y12</f>
        <v>3298.40463906494</v>
      </c>
      <c r="Q12" s="128">
        <f>'Meter1 TOU Detail'!Z12+'Meter2 TOU Detail'!Z12</f>
        <v>12968.12</v>
      </c>
      <c r="R12" s="128">
        <f>'Meter1 TOU Detail'!F12+'Meter2 TOU Detail'!F12</f>
        <v>18484.22</v>
      </c>
      <c r="S12" s="128">
        <f t="shared" si="2"/>
        <v>2217.69536093506</v>
      </c>
      <c r="T12" s="123">
        <f t="shared" si="3"/>
        <v>0</v>
      </c>
      <c r="U12" s="3" t="s">
        <v>103</v>
      </c>
      <c r="V12" s="60" t="s">
        <v>104</v>
      </c>
    </row>
    <row r="13" ht="34" spans="1:22">
      <c r="A13" s="55" t="s">
        <v>58</v>
      </c>
      <c r="B13" s="3" t="s">
        <v>56</v>
      </c>
      <c r="C13" s="3" t="s">
        <v>59</v>
      </c>
      <c r="D13" s="123">
        <v>8802</v>
      </c>
      <c r="E13" s="123">
        <v>41942</v>
      </c>
      <c r="F13" s="123">
        <f t="shared" si="0"/>
        <v>50744</v>
      </c>
      <c r="G13" s="123">
        <f>'Meter1 TOU Detail'!G13+'Meter2 TOU Detail'!G13</f>
        <v>1008</v>
      </c>
      <c r="H13" s="123">
        <f>SUM('Meter1 TOU Detail'!I13,'Meter1 TOU Detail'!M13,'Meter2 TOU Detail'!I13,'Meter2 TOU Detail'!M13)</f>
        <v>993</v>
      </c>
      <c r="I13" s="123">
        <f>SUM('Meter1 TOU Detail'!K13,'Meter1 TOU Detail'!O13,'Meter2 TOU Detail'!K13,'Meter2 TOU Detail'!O13)</f>
        <v>32110</v>
      </c>
      <c r="J13" s="123">
        <f>'Meter1 TOU Detail'!Q13+'Meter2 TOU Detail'!Q13</f>
        <v>16633</v>
      </c>
      <c r="K13" s="126">
        <f>'Meter1 TOU Detail'!S13</f>
        <v>41</v>
      </c>
      <c r="L13" s="126">
        <f>'Meter2 TOU Detail'!S13</f>
        <v>471</v>
      </c>
      <c r="M13" s="126">
        <f t="shared" si="1"/>
        <v>471</v>
      </c>
      <c r="N13" s="126">
        <f>MAX('Meter1 TOU Detail'!U13,'Meter1 TOU Detail'!W13)</f>
        <v>29</v>
      </c>
      <c r="O13" s="126">
        <f>MAX('Meter2 TOU Detail'!U13,'Meter2 TOU Detail'!W13)</f>
        <v>36</v>
      </c>
      <c r="P13" s="128">
        <f>'Meter1 TOU Detail'!Y13+'Meter2 TOU Detail'!Y13</f>
        <v>5727.94</v>
      </c>
      <c r="Q13" s="128">
        <f>'Meter1 TOU Detail'!Z13+'Meter2 TOU Detail'!Z13</f>
        <v>13151.58</v>
      </c>
      <c r="R13" s="128">
        <f>'Meter1 TOU Detail'!F13+'Meter2 TOU Detail'!F13</f>
        <v>20774.42</v>
      </c>
      <c r="S13" s="128">
        <f t="shared" si="2"/>
        <v>1894.9</v>
      </c>
      <c r="T13" s="123">
        <f t="shared" si="3"/>
        <v>0</v>
      </c>
      <c r="U13" s="3" t="s">
        <v>35</v>
      </c>
      <c r="V13" s="60" t="s">
        <v>102</v>
      </c>
    </row>
    <row r="14" ht="34" spans="1:22">
      <c r="A14" s="55" t="s">
        <v>61</v>
      </c>
      <c r="B14" s="3" t="s">
        <v>59</v>
      </c>
      <c r="C14" s="3" t="s">
        <v>62</v>
      </c>
      <c r="D14" s="123">
        <v>12723</v>
      </c>
      <c r="E14" s="123">
        <v>68386</v>
      </c>
      <c r="F14" s="123">
        <f t="shared" si="0"/>
        <v>81109</v>
      </c>
      <c r="G14" s="123">
        <f>'Meter1 TOU Detail'!G14+'Meter2 TOU Detail'!G14</f>
        <v>2075</v>
      </c>
      <c r="H14" s="123">
        <f>SUM('Meter1 TOU Detail'!I14,'Meter1 TOU Detail'!M14,'Meter2 TOU Detail'!I14,'Meter2 TOU Detail'!M14)</f>
        <v>723</v>
      </c>
      <c r="I14" s="123">
        <f>SUM('Meter1 TOU Detail'!K14,'Meter1 TOU Detail'!O14,'Meter2 TOU Detail'!K14,'Meter2 TOU Detail'!O14)</f>
        <v>78311</v>
      </c>
      <c r="J14" s="123">
        <f>'Meter1 TOU Detail'!Q14+'Meter2 TOU Detail'!Q14</f>
        <v>0</v>
      </c>
      <c r="K14" s="126">
        <f>'Meter1 TOU Detail'!S14</f>
        <v>51</v>
      </c>
      <c r="L14" s="126">
        <f>'Meter2 TOU Detail'!S14</f>
        <v>725</v>
      </c>
      <c r="M14" s="126">
        <f t="shared" si="1"/>
        <v>725</v>
      </c>
      <c r="N14" s="126">
        <f>MAX('Meter1 TOU Detail'!U14,'Meter1 TOU Detail'!W14)</f>
        <v>41</v>
      </c>
      <c r="O14" s="126">
        <f>MAX('Meter2 TOU Detail'!U14,'Meter2 TOU Detail'!W14)</f>
        <v>53</v>
      </c>
      <c r="P14" s="128">
        <f>'Meter1 TOU Detail'!Y14+'Meter2 TOU Detail'!Y14</f>
        <v>11449.52</v>
      </c>
      <c r="Q14" s="128">
        <f>'Meter1 TOU Detail'!Z14+'Meter2 TOU Detail'!Z14</f>
        <v>20856.59</v>
      </c>
      <c r="R14" s="128">
        <f>'Meter1 TOU Detail'!F14+'Meter2 TOU Detail'!F14</f>
        <v>33514.08</v>
      </c>
      <c r="S14" s="128">
        <f t="shared" si="2"/>
        <v>1207.97</v>
      </c>
      <c r="T14" s="123">
        <f t="shared" si="3"/>
        <v>0</v>
      </c>
      <c r="U14" s="3" t="s">
        <v>35</v>
      </c>
      <c r="V14" s="60" t="s">
        <v>102</v>
      </c>
    </row>
    <row r="15" ht="34" spans="1:22">
      <c r="A15" s="55" t="s">
        <v>64</v>
      </c>
      <c r="B15" s="3" t="s">
        <v>62</v>
      </c>
      <c r="C15" s="3" t="s">
        <v>65</v>
      </c>
      <c r="D15" s="123">
        <v>13067</v>
      </c>
      <c r="E15" s="123">
        <v>67656</v>
      </c>
      <c r="F15" s="123">
        <f t="shared" si="0"/>
        <v>80723</v>
      </c>
      <c r="G15" s="123">
        <f>'Meter1 TOU Detail'!G15+'Meter2 TOU Detail'!G15</f>
        <v>4892</v>
      </c>
      <c r="H15" s="123">
        <f>SUM('Meter1 TOU Detail'!I15,'Meter1 TOU Detail'!M15,'Meter2 TOU Detail'!I15,'Meter2 TOU Detail'!M15)</f>
        <v>631</v>
      </c>
      <c r="I15" s="123">
        <f>SUM('Meter1 TOU Detail'!K15,'Meter1 TOU Detail'!O15,'Meter2 TOU Detail'!K15,'Meter2 TOU Detail'!O15)</f>
        <v>75200</v>
      </c>
      <c r="J15" s="123">
        <f>'Meter1 TOU Detail'!Q15+'Meter2 TOU Detail'!Q15</f>
        <v>0</v>
      </c>
      <c r="K15" s="126">
        <f>'Meter1 TOU Detail'!S15</f>
        <v>50</v>
      </c>
      <c r="L15" s="126">
        <f>'Meter2 TOU Detail'!S15</f>
        <v>705</v>
      </c>
      <c r="M15" s="126">
        <f t="shared" si="1"/>
        <v>705</v>
      </c>
      <c r="N15" s="126">
        <f>MAX('Meter1 TOU Detail'!U15,'Meter1 TOU Detail'!W15)</f>
        <v>41</v>
      </c>
      <c r="O15" s="126">
        <f>MAX('Meter2 TOU Detail'!U15,'Meter2 TOU Detail'!W15)</f>
        <v>75</v>
      </c>
      <c r="P15" s="128">
        <f>'Meter1 TOU Detail'!Y15+'Meter2 TOU Detail'!Y15</f>
        <v>11656.92</v>
      </c>
      <c r="Q15" s="128">
        <f>'Meter1 TOU Detail'!Z15+'Meter2 TOU Detail'!Z15</f>
        <v>21310.7</v>
      </c>
      <c r="R15" s="128">
        <f>'Meter1 TOU Detail'!F15+'Meter2 TOU Detail'!F15</f>
        <v>34130.19</v>
      </c>
      <c r="S15" s="128">
        <f t="shared" si="2"/>
        <v>1162.57</v>
      </c>
      <c r="T15" s="123">
        <f t="shared" si="3"/>
        <v>0</v>
      </c>
      <c r="U15" s="3" t="s">
        <v>35</v>
      </c>
      <c r="V15" s="60" t="s">
        <v>102</v>
      </c>
    </row>
    <row r="16" ht="34" spans="1:22">
      <c r="A16" s="55" t="s">
        <v>67</v>
      </c>
      <c r="B16" s="3" t="s">
        <v>65</v>
      </c>
      <c r="C16" s="3" t="s">
        <v>68</v>
      </c>
      <c r="D16" s="123">
        <v>11054</v>
      </c>
      <c r="E16" s="123">
        <v>73315</v>
      </c>
      <c r="F16" s="123">
        <f t="shared" si="0"/>
        <v>84369</v>
      </c>
      <c r="G16" s="123">
        <f>'Meter1 TOU Detail'!G16+'Meter2 TOU Detail'!G16</f>
        <v>3782</v>
      </c>
      <c r="H16" s="123">
        <f>SUM('Meter1 TOU Detail'!I16,'Meter1 TOU Detail'!M16,'Meter2 TOU Detail'!I16,'Meter2 TOU Detail'!M16)</f>
        <v>629</v>
      </c>
      <c r="I16" s="123">
        <f>SUM('Meter1 TOU Detail'!K16,'Meter1 TOU Detail'!O16,'Meter2 TOU Detail'!K16,'Meter2 TOU Detail'!O16)</f>
        <v>79958</v>
      </c>
      <c r="J16" s="123">
        <f>'Meter1 TOU Detail'!Q16+'Meter2 TOU Detail'!Q16</f>
        <v>0</v>
      </c>
      <c r="K16" s="126">
        <f>'Meter1 TOU Detail'!S16</f>
        <v>47</v>
      </c>
      <c r="L16" s="126">
        <f>'Meter2 TOU Detail'!S16</f>
        <v>730</v>
      </c>
      <c r="M16" s="126">
        <f t="shared" si="1"/>
        <v>730</v>
      </c>
      <c r="N16" s="126">
        <f>MAX('Meter1 TOU Detail'!U16,'Meter1 TOU Detail'!W16)</f>
        <v>28</v>
      </c>
      <c r="O16" s="126">
        <f>MAX('Meter2 TOU Detail'!U16,'Meter2 TOU Detail'!W16)</f>
        <v>98</v>
      </c>
      <c r="P16" s="128">
        <f>'Meter1 TOU Detail'!Y16+'Meter2 TOU Detail'!Y16</f>
        <v>11557.23</v>
      </c>
      <c r="Q16" s="128">
        <f>'Meter1 TOU Detail'!Z16+'Meter2 TOU Detail'!Z16</f>
        <v>22683.43</v>
      </c>
      <c r="R16" s="128">
        <f>'Meter1 TOU Detail'!F16+'Meter2 TOU Detail'!F16</f>
        <v>35477</v>
      </c>
      <c r="S16" s="128">
        <f t="shared" si="2"/>
        <v>1236.34</v>
      </c>
      <c r="T16" s="123">
        <f t="shared" si="3"/>
        <v>0</v>
      </c>
      <c r="U16" s="3" t="s">
        <v>35</v>
      </c>
      <c r="V16" s="60" t="s">
        <v>102</v>
      </c>
    </row>
    <row r="17" ht="34" spans="1:22">
      <c r="A17" s="102" t="s">
        <v>105</v>
      </c>
      <c r="B17" s="124"/>
      <c r="C17" s="124"/>
      <c r="D17" s="125">
        <f t="shared" ref="D17:J17" si="4">SUM(D5:D16)</f>
        <v>117058</v>
      </c>
      <c r="E17" s="125">
        <f t="shared" si="4"/>
        <v>592443</v>
      </c>
      <c r="F17" s="125">
        <f t="shared" si="4"/>
        <v>709501</v>
      </c>
      <c r="G17" s="125">
        <f t="shared" si="4"/>
        <v>12604.8332373035</v>
      </c>
      <c r="H17" s="125">
        <f t="shared" si="4"/>
        <v>15480.3290805828</v>
      </c>
      <c r="I17" s="125">
        <f t="shared" si="4"/>
        <v>344747.360852745</v>
      </c>
      <c r="J17" s="125">
        <f t="shared" si="4"/>
        <v>336668.476829369</v>
      </c>
      <c r="K17" s="127">
        <f>MAX(K5:K16)</f>
        <v>51</v>
      </c>
      <c r="L17" s="127">
        <f>MAX(L5:L16)</f>
        <v>730</v>
      </c>
      <c r="M17" s="127">
        <f>MAX(M5:M16)</f>
        <v>730</v>
      </c>
      <c r="N17" s="127">
        <f>MAX(N5:N16)</f>
        <v>41</v>
      </c>
      <c r="O17" s="127">
        <f>MAX(O5:O16)</f>
        <v>170</v>
      </c>
      <c r="P17" s="129">
        <f>SUM(P5:P16)</f>
        <v>65519.8046390649</v>
      </c>
      <c r="Q17" s="129">
        <f>SUM(Q5:Q16)</f>
        <v>193627.17</v>
      </c>
      <c r="R17" s="129">
        <f>SUM(R5:R16)</f>
        <v>286732.11</v>
      </c>
      <c r="S17" s="129">
        <f>SUM(S5:S16)</f>
        <v>27585.1353609351</v>
      </c>
      <c r="T17" s="124"/>
      <c r="U17" s="124" t="s">
        <v>106</v>
      </c>
      <c r="V17" s="104"/>
    </row>
  </sheetData>
  <mergeCells count="2">
    <mergeCell ref="A1:V1"/>
    <mergeCell ref="A2:V2"/>
  </mergeCells>
  <conditionalFormatting sqref="T5:T16">
    <cfRule type="expression" dxfId="0" priority="1">
      <formula>ABS(T5)&gt;1</formula>
    </cfRule>
  </conditionalFormatting>
  <conditionalFormatting sqref="U5:U16">
    <cfRule type="expression" dxfId="1" priority="2">
      <formula>LEFT(U5,7)="Partial"</formula>
    </cfRule>
  </conditionalFormatting>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zoomScale="154" zoomScaleNormal="154" workbookViewId="0">
      <selection activeCell="B7" sqref="B7"/>
    </sheetView>
  </sheetViews>
  <sheetFormatPr defaultColWidth="9" defaultRowHeight="16.8" outlineLevelCol="3"/>
  <cols>
    <col min="1" max="1" width="28" customWidth="1"/>
    <col min="2" max="2" width="88" customWidth="1"/>
  </cols>
  <sheetData>
    <row r="1" ht="22" spans="1:4">
      <c r="A1" s="116" t="s">
        <v>107</v>
      </c>
      <c r="B1" s="116"/>
      <c r="C1" s="116"/>
      <c r="D1" s="116"/>
    </row>
    <row r="3" ht="17" spans="1:2">
      <c r="A3" s="117" t="s">
        <v>108</v>
      </c>
      <c r="B3" s="118" t="s">
        <v>109</v>
      </c>
    </row>
    <row r="4" ht="17" spans="1:2">
      <c r="A4" s="55" t="s">
        <v>110</v>
      </c>
      <c r="B4" s="60" t="s">
        <v>111</v>
      </c>
    </row>
    <row r="5" ht="34" spans="1:2">
      <c r="A5" s="55" t="s">
        <v>112</v>
      </c>
      <c r="B5" s="60" t="s">
        <v>113</v>
      </c>
    </row>
    <row r="6" ht="17" spans="1:2">
      <c r="A6" s="55" t="s">
        <v>90</v>
      </c>
      <c r="B6" s="60" t="s">
        <v>114</v>
      </c>
    </row>
    <row r="7" ht="17" spans="1:2">
      <c r="A7" s="55" t="s">
        <v>91</v>
      </c>
      <c r="B7" s="60" t="s">
        <v>115</v>
      </c>
    </row>
    <row r="8" ht="17" spans="1:2">
      <c r="A8" s="55" t="s">
        <v>92</v>
      </c>
      <c r="B8" s="60" t="s">
        <v>116</v>
      </c>
    </row>
    <row r="9" ht="17" spans="1:2">
      <c r="A9" s="55" t="s">
        <v>93</v>
      </c>
      <c r="B9" s="60" t="s">
        <v>117</v>
      </c>
    </row>
    <row r="10" ht="17" spans="1:2">
      <c r="A10" s="55" t="s">
        <v>118</v>
      </c>
      <c r="B10" s="60" t="s">
        <v>119</v>
      </c>
    </row>
    <row r="11" ht="17" spans="1:2">
      <c r="A11" s="55" t="s">
        <v>120</v>
      </c>
      <c r="B11" s="60" t="s">
        <v>121</v>
      </c>
    </row>
    <row r="12" ht="17" spans="1:2">
      <c r="A12" s="55" t="s">
        <v>122</v>
      </c>
      <c r="B12" s="60" t="s">
        <v>123</v>
      </c>
    </row>
    <row r="13" ht="68" spans="1:2">
      <c r="A13" s="57" t="s">
        <v>124</v>
      </c>
      <c r="B13" s="61" t="s">
        <v>125</v>
      </c>
    </row>
    <row r="14" ht="34" spans="1:2">
      <c r="A14" t="s">
        <v>126</v>
      </c>
      <c r="B14" s="61" t="s">
        <v>127</v>
      </c>
    </row>
    <row r="15" spans="2:2">
      <c r="B15" s="61"/>
    </row>
  </sheetData>
  <mergeCells count="1">
    <mergeCell ref="A1:D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zoomScale="139" zoomScaleNormal="139" topLeftCell="D23" workbookViewId="0">
      <selection activeCell="F33" sqref="F33"/>
    </sheetView>
  </sheetViews>
  <sheetFormatPr defaultColWidth="9" defaultRowHeight="16.8" outlineLevelCol="5"/>
  <cols>
    <col min="1" max="1" width="14" customWidth="1"/>
    <col min="2" max="2" width="50.7058823529412" customWidth="1"/>
    <col min="3" max="4" width="16" customWidth="1"/>
    <col min="5" max="5" width="22.2132352941176" customWidth="1"/>
    <col min="6" max="6" width="62" customWidth="1"/>
  </cols>
  <sheetData>
    <row r="1" ht="23.2" spans="1:6">
      <c r="A1" s="2" t="s">
        <v>128</v>
      </c>
      <c r="B1" s="2"/>
      <c r="C1" s="2"/>
      <c r="D1" s="2"/>
      <c r="E1" s="2"/>
      <c r="F1" s="2"/>
    </row>
    <row r="2" spans="1:6">
      <c r="A2" s="3"/>
      <c r="B2" s="3"/>
      <c r="C2" s="3"/>
      <c r="D2" s="3"/>
      <c r="E2" s="3"/>
      <c r="F2" s="3"/>
    </row>
    <row r="3" ht="17" spans="1:6">
      <c r="A3" s="73" t="s">
        <v>129</v>
      </c>
      <c r="B3" s="74" t="s">
        <v>130</v>
      </c>
      <c r="C3" s="74" t="s">
        <v>131</v>
      </c>
      <c r="D3" s="74" t="s">
        <v>132</v>
      </c>
      <c r="E3" s="74" t="s">
        <v>133</v>
      </c>
      <c r="F3" s="83" t="s">
        <v>134</v>
      </c>
    </row>
    <row r="4" ht="17" spans="1:6">
      <c r="A4" s="55" t="s">
        <v>135</v>
      </c>
      <c r="B4" s="56" t="s">
        <v>136</v>
      </c>
      <c r="C4" s="108">
        <v>709501</v>
      </c>
      <c r="D4" s="56" t="s">
        <v>137</v>
      </c>
      <c r="E4" s="56" t="s">
        <v>138</v>
      </c>
      <c r="F4" s="60" t="s">
        <v>139</v>
      </c>
    </row>
    <row r="5" ht="17" spans="1:6">
      <c r="A5" s="55" t="s">
        <v>140</v>
      </c>
      <c r="B5" s="56" t="s">
        <v>141</v>
      </c>
      <c r="C5" s="109">
        <v>0.485</v>
      </c>
      <c r="D5" s="56" t="s">
        <v>142</v>
      </c>
      <c r="E5" s="56" t="s">
        <v>143</v>
      </c>
      <c r="F5" s="60" t="s">
        <v>144</v>
      </c>
    </row>
    <row r="6" ht="17" spans="1:6">
      <c r="A6" s="55" t="s">
        <v>140</v>
      </c>
      <c r="B6" s="56" t="s">
        <v>145</v>
      </c>
      <c r="C6" s="109">
        <v>485</v>
      </c>
      <c r="D6" s="56" t="s">
        <v>146</v>
      </c>
      <c r="E6" s="56" t="s">
        <v>147</v>
      </c>
      <c r="F6" s="60" t="s">
        <v>148</v>
      </c>
    </row>
    <row r="7" ht="17" spans="1:6">
      <c r="A7" s="55" t="s">
        <v>140</v>
      </c>
      <c r="B7" s="56" t="s">
        <v>149</v>
      </c>
      <c r="C7" s="110">
        <v>847503</v>
      </c>
      <c r="D7" s="56" t="s">
        <v>137</v>
      </c>
      <c r="E7" s="56" t="s">
        <v>147</v>
      </c>
      <c r="F7" s="60" t="s">
        <v>150</v>
      </c>
    </row>
    <row r="8" ht="17" spans="1:6">
      <c r="A8" s="55" t="s">
        <v>140</v>
      </c>
      <c r="B8" s="56" t="s">
        <v>151</v>
      </c>
      <c r="C8" s="109">
        <v>1000</v>
      </c>
      <c r="D8" s="56" t="s">
        <v>152</v>
      </c>
      <c r="E8" s="56" t="s">
        <v>143</v>
      </c>
      <c r="F8" s="60" t="s">
        <v>153</v>
      </c>
    </row>
    <row r="9" ht="17" spans="1:6">
      <c r="A9" s="55" t="s">
        <v>140</v>
      </c>
      <c r="B9" s="56" t="s">
        <v>154</v>
      </c>
      <c r="C9" s="109">
        <v>1</v>
      </c>
      <c r="D9" s="56" t="s">
        <v>155</v>
      </c>
      <c r="E9" s="56" t="s">
        <v>156</v>
      </c>
      <c r="F9" s="60" t="s">
        <v>157</v>
      </c>
    </row>
    <row r="10" ht="17" spans="1:6">
      <c r="A10" s="55" t="s">
        <v>158</v>
      </c>
      <c r="B10" s="56" t="s">
        <v>159</v>
      </c>
      <c r="C10" s="109">
        <v>215.04</v>
      </c>
      <c r="D10" s="56" t="s">
        <v>160</v>
      </c>
      <c r="E10" s="56" t="s">
        <v>161</v>
      </c>
      <c r="F10" s="60" t="s">
        <v>162</v>
      </c>
    </row>
    <row r="11" ht="17" spans="1:6">
      <c r="A11" s="55" t="s">
        <v>158</v>
      </c>
      <c r="B11" s="56" t="s">
        <v>163</v>
      </c>
      <c r="C11" s="109">
        <v>0.5</v>
      </c>
      <c r="D11" s="56" t="s">
        <v>164</v>
      </c>
      <c r="E11" s="56" t="s">
        <v>161</v>
      </c>
      <c r="F11" s="60" t="s">
        <v>165</v>
      </c>
    </row>
    <row r="12" ht="17" spans="1:6">
      <c r="A12" s="55" t="s">
        <v>158</v>
      </c>
      <c r="B12" s="56" t="s">
        <v>166</v>
      </c>
      <c r="C12" s="111">
        <f>C10*C11</f>
        <v>107.52</v>
      </c>
      <c r="D12" s="56" t="s">
        <v>167</v>
      </c>
      <c r="E12" s="56" t="s">
        <v>161</v>
      </c>
      <c r="F12" s="60" t="s">
        <v>168</v>
      </c>
    </row>
    <row r="13" ht="17" spans="1:6">
      <c r="A13" s="55" t="s">
        <v>158</v>
      </c>
      <c r="B13" s="56" t="s">
        <v>169</v>
      </c>
      <c r="C13" s="112">
        <v>0.9</v>
      </c>
      <c r="D13" s="56" t="s">
        <v>155</v>
      </c>
      <c r="E13" s="56" t="s">
        <v>170</v>
      </c>
      <c r="F13" s="60" t="s">
        <v>171</v>
      </c>
    </row>
    <row r="14" ht="17" spans="1:6">
      <c r="A14" s="55" t="s">
        <v>158</v>
      </c>
      <c r="B14" s="56" t="s">
        <v>172</v>
      </c>
      <c r="C14" s="112">
        <v>0.95</v>
      </c>
      <c r="D14" s="56" t="s">
        <v>155</v>
      </c>
      <c r="E14" s="56" t="s">
        <v>170</v>
      </c>
      <c r="F14" s="60" t="s">
        <v>173</v>
      </c>
    </row>
    <row r="15" ht="17" hidden="1" spans="1:6">
      <c r="A15" s="55" t="s">
        <v>158</v>
      </c>
      <c r="B15" s="56" t="s">
        <v>174</v>
      </c>
      <c r="C15" s="112">
        <v>0.2</v>
      </c>
      <c r="D15" s="56" t="s">
        <v>155</v>
      </c>
      <c r="E15" s="56" t="s">
        <v>175</v>
      </c>
      <c r="F15" s="60" t="s">
        <v>176</v>
      </c>
    </row>
    <row r="16" ht="17" spans="1:6">
      <c r="A16" s="55" t="s">
        <v>177</v>
      </c>
      <c r="B16" s="56" t="s">
        <v>178</v>
      </c>
      <c r="C16" s="109">
        <v>0.05</v>
      </c>
      <c r="D16" s="56" t="s">
        <v>179</v>
      </c>
      <c r="E16" s="56" t="s">
        <v>138</v>
      </c>
      <c r="F16" s="60" t="s">
        <v>180</v>
      </c>
    </row>
    <row r="17" ht="17" spans="1:6">
      <c r="A17" s="55" t="s">
        <v>177</v>
      </c>
      <c r="B17" s="56" t="s">
        <v>181</v>
      </c>
      <c r="C17" s="109">
        <v>2.01</v>
      </c>
      <c r="D17" s="56" t="s">
        <v>182</v>
      </c>
      <c r="E17" s="56" t="s">
        <v>183</v>
      </c>
      <c r="F17" s="60" t="s">
        <v>184</v>
      </c>
    </row>
    <row r="18" ht="17" spans="1:6">
      <c r="A18" s="55" t="s">
        <v>177</v>
      </c>
      <c r="B18" s="56" t="s">
        <v>185</v>
      </c>
      <c r="C18" s="109">
        <v>600</v>
      </c>
      <c r="D18" s="56" t="s">
        <v>179</v>
      </c>
      <c r="E18" s="56" t="s">
        <v>183</v>
      </c>
      <c r="F18" s="60" t="s">
        <v>186</v>
      </c>
    </row>
    <row r="19" ht="17" spans="1:6">
      <c r="A19" s="55" t="s">
        <v>177</v>
      </c>
      <c r="B19" s="56" t="s">
        <v>187</v>
      </c>
      <c r="C19" s="110">
        <v>30</v>
      </c>
      <c r="D19" s="56" t="s">
        <v>188</v>
      </c>
      <c r="E19" s="56" t="s">
        <v>175</v>
      </c>
      <c r="F19" s="60" t="s">
        <v>189</v>
      </c>
    </row>
    <row r="20" ht="17" spans="1:6">
      <c r="A20" s="55" t="s">
        <v>177</v>
      </c>
      <c r="B20" s="56" t="s">
        <v>190</v>
      </c>
      <c r="C20" s="112">
        <v>0.05</v>
      </c>
      <c r="D20" s="56" t="s">
        <v>155</v>
      </c>
      <c r="E20" s="56" t="s">
        <v>191</v>
      </c>
      <c r="F20" s="60" t="s">
        <v>192</v>
      </c>
    </row>
    <row r="21" ht="17" spans="1:6">
      <c r="A21" s="55" t="s">
        <v>177</v>
      </c>
      <c r="B21" s="56" t="s">
        <v>193</v>
      </c>
      <c r="C21" s="112">
        <v>0.03</v>
      </c>
      <c r="D21" s="56" t="s">
        <v>194</v>
      </c>
      <c r="E21" s="56" t="s">
        <v>191</v>
      </c>
      <c r="F21" s="60" t="s">
        <v>192</v>
      </c>
    </row>
    <row r="22" ht="17" spans="1:6">
      <c r="A22" s="57" t="s">
        <v>177</v>
      </c>
      <c r="B22" s="58" t="s">
        <v>195</v>
      </c>
      <c r="C22" s="113">
        <v>0.008</v>
      </c>
      <c r="D22" s="58" t="s">
        <v>194</v>
      </c>
      <c r="E22" s="58" t="s">
        <v>191</v>
      </c>
      <c r="F22" s="60" t="s">
        <v>192</v>
      </c>
    </row>
    <row r="25" spans="2:3">
      <c r="B25" t="s">
        <v>196</v>
      </c>
      <c r="C25">
        <v>100</v>
      </c>
    </row>
    <row r="27" spans="2:6">
      <c r="B27" t="s">
        <v>197</v>
      </c>
      <c r="C27" s="114">
        <v>0.3</v>
      </c>
      <c r="D27" t="s">
        <v>155</v>
      </c>
      <c r="E27" t="s">
        <v>198</v>
      </c>
      <c r="F27" t="s">
        <v>199</v>
      </c>
    </row>
    <row r="28" spans="2:6">
      <c r="B28" t="s">
        <v>200</v>
      </c>
      <c r="C28" s="114">
        <v>0.255</v>
      </c>
      <c r="D28" t="s">
        <v>155</v>
      </c>
      <c r="E28" t="s">
        <v>198</v>
      </c>
      <c r="F28" t="s">
        <v>201</v>
      </c>
    </row>
    <row r="29" spans="2:6">
      <c r="B29" t="s">
        <v>202</v>
      </c>
      <c r="C29" s="114">
        <v>0.08</v>
      </c>
      <c r="D29" t="s">
        <v>155</v>
      </c>
      <c r="E29" t="s">
        <v>198</v>
      </c>
      <c r="F29" t="s">
        <v>203</v>
      </c>
    </row>
    <row r="30" ht="17" spans="2:6">
      <c r="B30" t="s">
        <v>204</v>
      </c>
      <c r="C30" s="115">
        <v>100</v>
      </c>
      <c r="D30" t="s">
        <v>205</v>
      </c>
      <c r="E30" s="56" t="s">
        <v>170</v>
      </c>
      <c r="F30" s="60" t="s">
        <v>206</v>
      </c>
    </row>
    <row r="31" ht="17" spans="2:6">
      <c r="B31" t="s">
        <v>207</v>
      </c>
      <c r="C31" s="115">
        <v>200</v>
      </c>
      <c r="D31" t="s">
        <v>208</v>
      </c>
      <c r="E31" s="56" t="s">
        <v>209</v>
      </c>
      <c r="F31" s="60" t="s">
        <v>210</v>
      </c>
    </row>
  </sheetData>
  <mergeCells count="1">
    <mergeCell ref="A1:F1"/>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
  <sheetViews>
    <sheetView zoomScale="181" zoomScaleNormal="181" workbookViewId="0">
      <selection activeCell="L6" sqref="L6"/>
    </sheetView>
  </sheetViews>
  <sheetFormatPr defaultColWidth="9" defaultRowHeight="16.8"/>
  <cols>
    <col min="1" max="1" width="13" customWidth="1"/>
    <col min="2" max="2" width="18" customWidth="1"/>
    <col min="3" max="3" width="23" customWidth="1"/>
    <col min="4" max="4" width="19" customWidth="1"/>
    <col min="5" max="6" width="18" customWidth="1"/>
    <col min="7" max="7" width="20" customWidth="1"/>
    <col min="8" max="8" width="24" customWidth="1"/>
    <col min="9" max="9" width="13" customWidth="1"/>
    <col min="10" max="10" width="22" customWidth="1"/>
    <col min="11" max="11" width="20" customWidth="1"/>
    <col min="12" max="12" width="42" customWidth="1"/>
  </cols>
  <sheetData>
    <row r="1" ht="23.2" spans="1:12">
      <c r="A1" s="2" t="s">
        <v>211</v>
      </c>
      <c r="B1" s="2"/>
      <c r="C1" s="2"/>
      <c r="D1" s="2"/>
      <c r="E1" s="2"/>
      <c r="F1" s="2"/>
      <c r="G1" s="2"/>
      <c r="H1" s="2"/>
      <c r="I1" s="2"/>
      <c r="J1" s="2"/>
      <c r="K1" s="2"/>
      <c r="L1" s="2"/>
    </row>
    <row r="2" spans="1:12">
      <c r="A2" s="100" t="s">
        <v>212</v>
      </c>
      <c r="B2" s="100"/>
      <c r="C2" s="100"/>
      <c r="D2" s="100"/>
      <c r="E2" s="100"/>
      <c r="F2" s="100"/>
      <c r="G2" s="100"/>
      <c r="H2" s="100"/>
      <c r="I2" s="100"/>
      <c r="J2" s="100"/>
      <c r="K2" s="100"/>
      <c r="L2" s="100"/>
    </row>
    <row r="3" spans="1:12">
      <c r="A3" s="3"/>
      <c r="B3" s="3"/>
      <c r="C3" s="3"/>
      <c r="D3" s="3"/>
      <c r="E3" s="3"/>
      <c r="F3" s="3"/>
      <c r="G3" s="3"/>
      <c r="H3" s="3"/>
      <c r="I3" s="3"/>
      <c r="J3" s="3"/>
      <c r="K3" s="3"/>
      <c r="L3" s="3"/>
    </row>
    <row r="4" ht="34" spans="1:11">
      <c r="A4" s="73" t="s">
        <v>213</v>
      </c>
      <c r="B4" s="74" t="s">
        <v>214</v>
      </c>
      <c r="C4" s="74" t="s">
        <v>215</v>
      </c>
      <c r="D4" s="74" t="s">
        <v>216</v>
      </c>
      <c r="E4" s="74" t="s">
        <v>217</v>
      </c>
      <c r="F4" s="74" t="s">
        <v>218</v>
      </c>
      <c r="G4" s="74" t="s">
        <v>219</v>
      </c>
      <c r="H4" s="74" t="s">
        <v>220</v>
      </c>
      <c r="I4" s="74" t="s">
        <v>221</v>
      </c>
      <c r="J4" s="74" t="s">
        <v>222</v>
      </c>
      <c r="K4" s="74" t="s">
        <v>223</v>
      </c>
    </row>
    <row r="5" ht="17" spans="1:11">
      <c r="A5" s="55" t="s">
        <v>42</v>
      </c>
      <c r="B5" s="75">
        <f>'Combined TOU Profile'!F8</f>
        <v>54844</v>
      </c>
      <c r="C5" s="75">
        <v>51780</v>
      </c>
      <c r="D5" s="75">
        <f>C5/'Model Assumptions'!$C$6</f>
        <v>106.762886597938</v>
      </c>
      <c r="E5" s="75">
        <f>ROUNDUP('Model Assumptions'!$C$4/('Model Assumptions'!$C$7/'Model Assumptions'!$C$8),0)</f>
        <v>838</v>
      </c>
      <c r="F5" s="75">
        <f>E5*'Model Assumptions'!$C$5</f>
        <v>406.43</v>
      </c>
      <c r="G5" s="75">
        <f>C5*F5/'Model Assumptions'!$C$6</f>
        <v>43391.64</v>
      </c>
      <c r="H5" s="75">
        <f t="shared" ref="H5:H16" si="0">G5-B5</f>
        <v>-11452.36</v>
      </c>
      <c r="I5" s="106">
        <f t="shared" ref="I5:I17" si="1">G5/B5</f>
        <v>0.791182991758442</v>
      </c>
      <c r="J5" s="75">
        <f t="shared" ref="J5:J16" si="2">MIN(G5,B5)</f>
        <v>43391.64</v>
      </c>
      <c r="K5" s="75">
        <f t="shared" ref="K5:K16" si="3">MAX(G5-B5,0)</f>
        <v>0</v>
      </c>
    </row>
    <row r="6" ht="17" spans="1:11">
      <c r="A6" s="55" t="s">
        <v>45</v>
      </c>
      <c r="B6" s="75">
        <f>'Combined TOU Profile'!F9</f>
        <v>48926</v>
      </c>
      <c r="C6" s="75">
        <v>55888</v>
      </c>
      <c r="D6" s="75">
        <f>C6/'Model Assumptions'!$C$6</f>
        <v>115.232989690722</v>
      </c>
      <c r="E6" s="75">
        <f>ROUNDUP('Model Assumptions'!$C$4/('Model Assumptions'!$C$7/'Model Assumptions'!$C$8),0)</f>
        <v>838</v>
      </c>
      <c r="F6" s="75">
        <f>E6*'Model Assumptions'!$C$5</f>
        <v>406.43</v>
      </c>
      <c r="G6" s="75">
        <f>C6*F6/'Model Assumptions'!$C$6</f>
        <v>46834.144</v>
      </c>
      <c r="H6" s="75">
        <f t="shared" si="0"/>
        <v>-2091.856</v>
      </c>
      <c r="I6" s="106">
        <f t="shared" si="1"/>
        <v>0.957244491681315</v>
      </c>
      <c r="J6" s="75">
        <f t="shared" si="2"/>
        <v>46834.144</v>
      </c>
      <c r="K6" s="75">
        <f t="shared" si="3"/>
        <v>0</v>
      </c>
    </row>
    <row r="7" ht="17" spans="1:11">
      <c r="A7" s="55" t="s">
        <v>48</v>
      </c>
      <c r="B7" s="75">
        <f>'Combined TOU Profile'!F10</f>
        <v>52449</v>
      </c>
      <c r="C7" s="75">
        <v>73686</v>
      </c>
      <c r="D7" s="75">
        <f>C7/'Model Assumptions'!$C$6</f>
        <v>151.929896907216</v>
      </c>
      <c r="E7" s="75">
        <f>ROUNDUP('Model Assumptions'!$C$4/('Model Assumptions'!$C$7/'Model Assumptions'!$C$8),0)</f>
        <v>838</v>
      </c>
      <c r="F7" s="75">
        <f>E7*'Model Assumptions'!$C$5</f>
        <v>406.43</v>
      </c>
      <c r="G7" s="75">
        <f>C7*F7/'Model Assumptions'!$C$6</f>
        <v>61748.868</v>
      </c>
      <c r="H7" s="75">
        <f t="shared" si="0"/>
        <v>9299.868</v>
      </c>
      <c r="I7" s="106">
        <f t="shared" si="1"/>
        <v>1.17731258937253</v>
      </c>
      <c r="J7" s="75">
        <f t="shared" si="2"/>
        <v>52449</v>
      </c>
      <c r="K7" s="75">
        <f t="shared" si="3"/>
        <v>9299.868</v>
      </c>
    </row>
    <row r="8" ht="17" spans="1:11">
      <c r="A8" s="55" t="s">
        <v>51</v>
      </c>
      <c r="B8" s="75">
        <f>'Combined TOU Profile'!F11</f>
        <v>40752</v>
      </c>
      <c r="C8" s="75">
        <v>82939</v>
      </c>
      <c r="D8" s="75">
        <f>C8/'Model Assumptions'!$C$6</f>
        <v>171.00824742268</v>
      </c>
      <c r="E8" s="75">
        <f>ROUNDUP('Model Assumptions'!$C$4/('Model Assumptions'!$C$7/'Model Assumptions'!$C$8),0)</f>
        <v>838</v>
      </c>
      <c r="F8" s="75">
        <f>E8*'Model Assumptions'!$C$5</f>
        <v>406.43</v>
      </c>
      <c r="G8" s="75">
        <f>C8*F8/'Model Assumptions'!$C$6</f>
        <v>69502.882</v>
      </c>
      <c r="H8" s="75">
        <f t="shared" si="0"/>
        <v>28750.882</v>
      </c>
      <c r="I8" s="106">
        <f t="shared" si="1"/>
        <v>1.70550849038084</v>
      </c>
      <c r="J8" s="75">
        <f t="shared" si="2"/>
        <v>40752</v>
      </c>
      <c r="K8" s="75">
        <f t="shared" si="3"/>
        <v>28750.882</v>
      </c>
    </row>
    <row r="9" ht="17" spans="1:11">
      <c r="A9" s="55" t="s">
        <v>55</v>
      </c>
      <c r="B9" s="75">
        <f>'Combined TOU Profile'!F12</f>
        <v>51220</v>
      </c>
      <c r="C9" s="75">
        <v>91798</v>
      </c>
      <c r="D9" s="75">
        <f>C9/'Model Assumptions'!$C$6</f>
        <v>189.274226804124</v>
      </c>
      <c r="E9" s="75">
        <f>ROUNDUP('Model Assumptions'!$C$4/('Model Assumptions'!$C$7/'Model Assumptions'!$C$8),0)</f>
        <v>838</v>
      </c>
      <c r="F9" s="75">
        <f>E9*'Model Assumptions'!$C$5</f>
        <v>406.43</v>
      </c>
      <c r="G9" s="75">
        <f>C9*F9/'Model Assumptions'!$C$6</f>
        <v>76926.724</v>
      </c>
      <c r="H9" s="75">
        <f t="shared" si="0"/>
        <v>25706.724</v>
      </c>
      <c r="I9" s="106">
        <f t="shared" si="1"/>
        <v>1.50188840296759</v>
      </c>
      <c r="J9" s="75">
        <f t="shared" si="2"/>
        <v>51220</v>
      </c>
      <c r="K9" s="75">
        <f t="shared" si="3"/>
        <v>25706.724</v>
      </c>
    </row>
    <row r="10" ht="17" spans="1:11">
      <c r="A10" s="55" t="s">
        <v>58</v>
      </c>
      <c r="B10" s="75">
        <f>'Combined TOU Profile'!F13</f>
        <v>50744</v>
      </c>
      <c r="C10" s="75">
        <v>91057</v>
      </c>
      <c r="D10" s="75">
        <f>C10/'Model Assumptions'!$C$6</f>
        <v>187.746391752577</v>
      </c>
      <c r="E10" s="75">
        <f>ROUNDUP('Model Assumptions'!$C$4/('Model Assumptions'!$C$7/'Model Assumptions'!$C$8),0)</f>
        <v>838</v>
      </c>
      <c r="F10" s="75">
        <f>E10*'Model Assumptions'!$C$5</f>
        <v>406.43</v>
      </c>
      <c r="G10" s="75">
        <f>C10*F10/'Model Assumptions'!$C$6</f>
        <v>76305.766</v>
      </c>
      <c r="H10" s="75">
        <f t="shared" si="0"/>
        <v>25561.766</v>
      </c>
      <c r="I10" s="106">
        <f t="shared" si="1"/>
        <v>1.503739673656</v>
      </c>
      <c r="J10" s="75">
        <f t="shared" si="2"/>
        <v>50744</v>
      </c>
      <c r="K10" s="75">
        <f t="shared" si="3"/>
        <v>25561.766</v>
      </c>
    </row>
    <row r="11" ht="17" spans="1:11">
      <c r="A11" s="55" t="s">
        <v>61</v>
      </c>
      <c r="B11" s="75">
        <f>'Combined TOU Profile'!F14</f>
        <v>81109</v>
      </c>
      <c r="C11" s="75">
        <v>84094</v>
      </c>
      <c r="D11" s="75">
        <f>C11/'Model Assumptions'!$C$6</f>
        <v>173.389690721649</v>
      </c>
      <c r="E11" s="75">
        <f>ROUNDUP('Model Assumptions'!$C$4/('Model Assumptions'!$C$7/'Model Assumptions'!$C$8),0)</f>
        <v>838</v>
      </c>
      <c r="F11" s="75">
        <f>E11*'Model Assumptions'!$C$5</f>
        <v>406.43</v>
      </c>
      <c r="G11" s="75">
        <f>C11*F11/'Model Assumptions'!$C$6</f>
        <v>70470.772</v>
      </c>
      <c r="H11" s="75">
        <f t="shared" si="0"/>
        <v>-10638.228</v>
      </c>
      <c r="I11" s="106">
        <f t="shared" si="1"/>
        <v>0.868840350639263</v>
      </c>
      <c r="J11" s="75">
        <f t="shared" si="2"/>
        <v>70470.772</v>
      </c>
      <c r="K11" s="75">
        <f t="shared" si="3"/>
        <v>0</v>
      </c>
    </row>
    <row r="12" ht="17" spans="1:11">
      <c r="A12" s="55" t="s">
        <v>64</v>
      </c>
      <c r="B12" s="75">
        <f>'Combined TOU Profile'!F15</f>
        <v>80723</v>
      </c>
      <c r="C12" s="75">
        <v>83095</v>
      </c>
      <c r="D12" s="75">
        <f>C12/'Model Assumptions'!$C$6</f>
        <v>171.329896907216</v>
      </c>
      <c r="E12" s="75">
        <f>ROUNDUP('Model Assumptions'!$C$4/('Model Assumptions'!$C$7/'Model Assumptions'!$C$8),0)</f>
        <v>838</v>
      </c>
      <c r="F12" s="75">
        <f>E12*'Model Assumptions'!$C$5</f>
        <v>406.43</v>
      </c>
      <c r="G12" s="75">
        <f>C12*F12/'Model Assumptions'!$C$6</f>
        <v>69633.61</v>
      </c>
      <c r="H12" s="75">
        <f t="shared" si="0"/>
        <v>-11089.39</v>
      </c>
      <c r="I12" s="106">
        <f t="shared" si="1"/>
        <v>0.862624159161577</v>
      </c>
      <c r="J12" s="75">
        <f t="shared" si="2"/>
        <v>69633.61</v>
      </c>
      <c r="K12" s="75">
        <f t="shared" si="3"/>
        <v>0</v>
      </c>
    </row>
    <row r="13" ht="17" spans="1:11">
      <c r="A13" s="55" t="s">
        <v>67</v>
      </c>
      <c r="B13" s="75">
        <f>'Combined TOU Profile'!F16</f>
        <v>84369</v>
      </c>
      <c r="C13" s="75">
        <v>72370</v>
      </c>
      <c r="D13" s="75">
        <f>C13/'Model Assumptions'!$C$6</f>
        <v>149.216494845361</v>
      </c>
      <c r="E13" s="75">
        <f>ROUNDUP('Model Assumptions'!$C$4/('Model Assumptions'!$C$7/'Model Assumptions'!$C$8),0)</f>
        <v>838</v>
      </c>
      <c r="F13" s="75">
        <f>E13*'Model Assumptions'!$C$5</f>
        <v>406.43</v>
      </c>
      <c r="G13" s="75">
        <f>C13*F13/'Model Assumptions'!$C$6</f>
        <v>60646.06</v>
      </c>
      <c r="H13" s="75">
        <f t="shared" si="0"/>
        <v>-23722.94</v>
      </c>
      <c r="I13" s="106">
        <f t="shared" si="1"/>
        <v>0.718819234552976</v>
      </c>
      <c r="J13" s="75">
        <f t="shared" si="2"/>
        <v>60646.06</v>
      </c>
      <c r="K13" s="75">
        <f t="shared" si="3"/>
        <v>0</v>
      </c>
    </row>
    <row r="14" ht="17" spans="1:11">
      <c r="A14" s="55" t="s">
        <v>31</v>
      </c>
      <c r="B14" s="75">
        <f>'Combined TOU Profile'!F5</f>
        <v>50017</v>
      </c>
      <c r="C14" s="75">
        <v>65606</v>
      </c>
      <c r="D14" s="75">
        <f>C14/'Model Assumptions'!$C$6</f>
        <v>135.270103092784</v>
      </c>
      <c r="E14" s="75">
        <f>ROUNDUP('Model Assumptions'!$C$4/('Model Assumptions'!$C$7/'Model Assumptions'!$C$8),0)</f>
        <v>838</v>
      </c>
      <c r="F14" s="75">
        <f>E14*'Model Assumptions'!$C$5</f>
        <v>406.43</v>
      </c>
      <c r="G14" s="75">
        <f>C14*F14/'Model Assumptions'!$C$6</f>
        <v>54977.828</v>
      </c>
      <c r="H14" s="75">
        <f t="shared" si="0"/>
        <v>4960.828</v>
      </c>
      <c r="I14" s="106">
        <f t="shared" si="1"/>
        <v>1.09918283783514</v>
      </c>
      <c r="J14" s="75">
        <f t="shared" si="2"/>
        <v>50017</v>
      </c>
      <c r="K14" s="75">
        <f t="shared" si="3"/>
        <v>4960.828</v>
      </c>
    </row>
    <row r="15" ht="17" spans="1:11">
      <c r="A15" s="55" t="s">
        <v>36</v>
      </c>
      <c r="B15" s="75">
        <f>'Combined TOU Profile'!F6</f>
        <v>61096</v>
      </c>
      <c r="C15" s="75">
        <v>51050</v>
      </c>
      <c r="D15" s="75">
        <f>C15/'Model Assumptions'!$C$6</f>
        <v>105.257731958763</v>
      </c>
      <c r="E15" s="75">
        <f>ROUNDUP('Model Assumptions'!$C$4/('Model Assumptions'!$C$7/'Model Assumptions'!$C$8),0)</f>
        <v>838</v>
      </c>
      <c r="F15" s="75">
        <f>E15*'Model Assumptions'!$C$5</f>
        <v>406.43</v>
      </c>
      <c r="G15" s="75">
        <f>C15*F15/'Model Assumptions'!$C$6</f>
        <v>42779.9</v>
      </c>
      <c r="H15" s="75">
        <f t="shared" si="0"/>
        <v>-18316.1</v>
      </c>
      <c r="I15" s="106">
        <f t="shared" si="1"/>
        <v>0.700207869582297</v>
      </c>
      <c r="J15" s="75">
        <f t="shared" si="2"/>
        <v>42779.9</v>
      </c>
      <c r="K15" s="75">
        <f t="shared" si="3"/>
        <v>0</v>
      </c>
    </row>
    <row r="16" ht="17" spans="1:11">
      <c r="A16" s="55" t="s">
        <v>39</v>
      </c>
      <c r="B16" s="75">
        <f>'Combined TOU Profile'!F7</f>
        <v>53252</v>
      </c>
      <c r="C16" s="75">
        <v>44140</v>
      </c>
      <c r="D16" s="75">
        <f>C16/'Model Assumptions'!$C$6</f>
        <v>91.0103092783505</v>
      </c>
      <c r="E16" s="75">
        <f>ROUNDUP('Model Assumptions'!$C$4/('Model Assumptions'!$C$7/'Model Assumptions'!$C$8),0)</f>
        <v>838</v>
      </c>
      <c r="F16" s="75">
        <f>E16*'Model Assumptions'!$C$5</f>
        <v>406.43</v>
      </c>
      <c r="G16" s="75">
        <f>C16*F16/'Model Assumptions'!$C$6</f>
        <v>36989.32</v>
      </c>
      <c r="H16" s="75">
        <f t="shared" si="0"/>
        <v>-16262.68</v>
      </c>
      <c r="I16" s="106">
        <f t="shared" si="1"/>
        <v>0.694609028768873</v>
      </c>
      <c r="J16" s="75">
        <f t="shared" si="2"/>
        <v>36989.32</v>
      </c>
      <c r="K16" s="75">
        <f t="shared" si="3"/>
        <v>0</v>
      </c>
    </row>
    <row r="17" ht="17" spans="1:11">
      <c r="A17" s="102" t="s">
        <v>224</v>
      </c>
      <c r="B17" s="105">
        <f>SUM(B5:B16)</f>
        <v>709501</v>
      </c>
      <c r="C17" s="105">
        <f>SUM(C5:C16)</f>
        <v>847503</v>
      </c>
      <c r="D17" s="105">
        <f>C17/'Model Assumptions'!$C$6</f>
        <v>1747.42886597938</v>
      </c>
      <c r="E17" s="105">
        <f>E5</f>
        <v>838</v>
      </c>
      <c r="F17" s="105">
        <f>F5</f>
        <v>406.43</v>
      </c>
      <c r="G17" s="105">
        <f>SUM(G5:G16)</f>
        <v>710207.514</v>
      </c>
      <c r="H17" s="105">
        <f>SUM(H5:H16)</f>
        <v>706.51400000001</v>
      </c>
      <c r="I17" s="107">
        <f t="shared" si="1"/>
        <v>1.00099578999889</v>
      </c>
      <c r="J17" s="105">
        <f>SUM(J5:J16)</f>
        <v>615927.446</v>
      </c>
      <c r="K17" s="105">
        <f>SUM(K5:K16)</f>
        <v>94280.068</v>
      </c>
    </row>
  </sheetData>
  <mergeCells count="2">
    <mergeCell ref="A1:L1"/>
    <mergeCell ref="A2:L2"/>
  </mergeCells>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7"/>
  <sheetViews>
    <sheetView zoomScale="96" zoomScaleNormal="96" workbookViewId="0">
      <selection activeCell="E5" sqref="E5"/>
    </sheetView>
  </sheetViews>
  <sheetFormatPr defaultColWidth="9" defaultRowHeight="16.8"/>
  <cols>
    <col min="1" max="1" width="13" customWidth="1"/>
    <col min="2" max="2" width="8" customWidth="1"/>
    <col min="3" max="4" width="15" customWidth="1"/>
    <col min="5" max="5" width="20" customWidth="1"/>
    <col min="6" max="6" width="24" customWidth="1"/>
    <col min="7" max="7" width="23" customWidth="1"/>
    <col min="8" max="8" width="20" customWidth="1"/>
    <col min="9" max="9" width="25" customWidth="1"/>
    <col min="10" max="10" width="16" customWidth="1"/>
    <col min="11" max="12" width="15" customWidth="1"/>
    <col min="13" max="13" width="16" customWidth="1"/>
    <col min="14" max="14" width="30" customWidth="1"/>
  </cols>
  <sheetData>
    <row r="1" ht="23.2" spans="1:14">
      <c r="A1" s="2" t="s">
        <v>225</v>
      </c>
      <c r="B1" s="2"/>
      <c r="C1" s="2"/>
      <c r="D1" s="2"/>
      <c r="E1" s="2"/>
      <c r="F1" s="2"/>
      <c r="G1" s="2"/>
      <c r="H1" s="2"/>
      <c r="I1" s="2"/>
      <c r="J1" s="2"/>
      <c r="K1" s="2"/>
      <c r="L1" s="2"/>
      <c r="M1" s="2"/>
      <c r="N1" s="2"/>
    </row>
    <row r="2" spans="1:14">
      <c r="A2" s="100" t="s">
        <v>226</v>
      </c>
      <c r="B2" s="100"/>
      <c r="C2" s="100"/>
      <c r="D2" s="100"/>
      <c r="E2" s="100"/>
      <c r="F2" s="100"/>
      <c r="G2" s="100"/>
      <c r="H2" s="100"/>
      <c r="I2" s="100"/>
      <c r="J2" s="100"/>
      <c r="K2" s="100"/>
      <c r="L2" s="100"/>
      <c r="M2" s="100"/>
      <c r="N2" s="100"/>
    </row>
    <row r="3" spans="1:14">
      <c r="A3" s="3"/>
      <c r="B3" s="3"/>
      <c r="C3" s="3"/>
      <c r="D3" s="3"/>
      <c r="E3" s="3"/>
      <c r="F3" s="3"/>
      <c r="G3" s="3"/>
      <c r="H3" s="3"/>
      <c r="I3" s="3"/>
      <c r="J3" s="3"/>
      <c r="K3" s="3"/>
      <c r="L3" s="3"/>
      <c r="M3" s="3"/>
      <c r="N3" s="3"/>
    </row>
    <row r="4" ht="34" spans="1:14">
      <c r="A4" s="73" t="s">
        <v>227</v>
      </c>
      <c r="B4" s="74" t="s">
        <v>5</v>
      </c>
      <c r="C4" s="74" t="s">
        <v>90</v>
      </c>
      <c r="D4" s="74" t="s">
        <v>91</v>
      </c>
      <c r="E4" s="74" t="s">
        <v>228</v>
      </c>
      <c r="F4" s="74" t="s">
        <v>229</v>
      </c>
      <c r="G4" s="74" t="s">
        <v>230</v>
      </c>
      <c r="H4" s="74" t="s">
        <v>231</v>
      </c>
      <c r="I4" s="74" t="s">
        <v>232</v>
      </c>
      <c r="J4" s="74" t="s">
        <v>233</v>
      </c>
      <c r="K4" s="74" t="s">
        <v>234</v>
      </c>
      <c r="L4" s="74" t="s">
        <v>235</v>
      </c>
      <c r="M4" s="74" t="s">
        <v>236</v>
      </c>
      <c r="N4" s="83" t="s">
        <v>237</v>
      </c>
    </row>
    <row r="5" ht="17" spans="1:14">
      <c r="A5" s="55" t="str">
        <f>'Combined TOU Profile'!A5</f>
        <v>Oct 2023</v>
      </c>
      <c r="B5" s="101">
        <v>29</v>
      </c>
      <c r="C5" s="101">
        <f>'Combined TOU Profile'!G5</f>
        <v>444</v>
      </c>
      <c r="D5" s="101">
        <f>'Combined TOU Profile'!H5</f>
        <v>1257</v>
      </c>
      <c r="E5" s="101">
        <f t="shared" ref="E5:E16" si="0">SUM(C5:D5)</f>
        <v>1701</v>
      </c>
      <c r="F5" s="101">
        <f t="shared" ref="F5:F16" si="1">E5/B5</f>
        <v>58.6551724137931</v>
      </c>
      <c r="G5" s="101">
        <f>'Combined TOU Profile'!M5</f>
        <v>552</v>
      </c>
      <c r="H5" s="101">
        <f>'Model Assumptions'!$C$30</f>
        <v>100</v>
      </c>
      <c r="I5" s="101">
        <f>'Model Assumptions'!$C$10*'Model Assumptions'!$C$13*'Model Assumptions'!$C$14</f>
        <v>183.8592</v>
      </c>
      <c r="J5" s="101">
        <f>'Model Assumptions'!$C$12</f>
        <v>107.52</v>
      </c>
      <c r="K5" s="101">
        <f t="shared" ref="K5:K16" si="2">ROUNDUP(F5/I5,0)</f>
        <v>1</v>
      </c>
      <c r="L5" s="101">
        <f t="shared" ref="L5:L16" si="3">ROUNDUP(H5/J5,0)</f>
        <v>1</v>
      </c>
      <c r="M5" s="101">
        <f t="shared" ref="M5:M16" si="4">MAX(K5,L5)</f>
        <v>1</v>
      </c>
      <c r="N5" s="60" t="str">
        <f>'Combined TOU Profile'!U5</f>
        <v>Complete</v>
      </c>
    </row>
    <row r="6" ht="17" spans="1:14">
      <c r="A6" s="55" t="str">
        <f>'Combined TOU Profile'!A6</f>
        <v>Nov 2023</v>
      </c>
      <c r="B6" s="101">
        <v>32</v>
      </c>
      <c r="C6" s="101">
        <f>'Combined TOU Profile'!G6</f>
        <v>0</v>
      </c>
      <c r="D6" s="101">
        <f>'Combined TOU Profile'!H6</f>
        <v>1654</v>
      </c>
      <c r="E6" s="101">
        <f t="shared" si="0"/>
        <v>1654</v>
      </c>
      <c r="F6" s="101">
        <f t="shared" si="1"/>
        <v>51.6875</v>
      </c>
      <c r="G6" s="101">
        <f>'Combined TOU Profile'!M6</f>
        <v>622</v>
      </c>
      <c r="H6" s="101">
        <f>'Model Assumptions'!$C$30</f>
        <v>100</v>
      </c>
      <c r="I6" s="101">
        <f>'Model Assumptions'!$C$10*'Model Assumptions'!$C$13*'Model Assumptions'!$C$14</f>
        <v>183.8592</v>
      </c>
      <c r="J6" s="101">
        <f>'Model Assumptions'!$C$12</f>
        <v>107.52</v>
      </c>
      <c r="K6" s="101">
        <f t="shared" si="2"/>
        <v>1</v>
      </c>
      <c r="L6" s="101">
        <f t="shared" si="3"/>
        <v>1</v>
      </c>
      <c r="M6" s="101">
        <f t="shared" si="4"/>
        <v>1</v>
      </c>
      <c r="N6" s="60" t="str">
        <f>'Combined TOU Profile'!U6</f>
        <v>Complete</v>
      </c>
    </row>
    <row r="7" ht="17" spans="1:14">
      <c r="A7" s="55" t="str">
        <f>'Combined TOU Profile'!A7</f>
        <v>Dec 2023</v>
      </c>
      <c r="B7" s="101">
        <v>30</v>
      </c>
      <c r="C7" s="101">
        <f>'Combined TOU Profile'!G7</f>
        <v>0</v>
      </c>
      <c r="D7" s="101">
        <f>'Combined TOU Profile'!H7</f>
        <v>2024</v>
      </c>
      <c r="E7" s="101">
        <f t="shared" si="0"/>
        <v>2024</v>
      </c>
      <c r="F7" s="101">
        <f t="shared" si="1"/>
        <v>67.4666666666667</v>
      </c>
      <c r="G7" s="101">
        <f>'Combined TOU Profile'!M7</f>
        <v>513</v>
      </c>
      <c r="H7" s="101">
        <f>'Model Assumptions'!$C$30</f>
        <v>100</v>
      </c>
      <c r="I7" s="101">
        <f>'Model Assumptions'!$C$10*'Model Assumptions'!$C$13*'Model Assumptions'!$C$14</f>
        <v>183.8592</v>
      </c>
      <c r="J7" s="101">
        <f>'Model Assumptions'!$C$12</f>
        <v>107.52</v>
      </c>
      <c r="K7" s="101">
        <f t="shared" si="2"/>
        <v>1</v>
      </c>
      <c r="L7" s="101">
        <f t="shared" si="3"/>
        <v>1</v>
      </c>
      <c r="M7" s="101">
        <f t="shared" si="4"/>
        <v>1</v>
      </c>
      <c r="N7" s="60" t="str">
        <f>'Combined TOU Profile'!U7</f>
        <v>Complete</v>
      </c>
    </row>
    <row r="8" ht="17" spans="1:14">
      <c r="A8" s="55" t="str">
        <f>'Combined TOU Profile'!A8</f>
        <v>Jan 2024</v>
      </c>
      <c r="B8" s="101">
        <v>33</v>
      </c>
      <c r="C8" s="101">
        <f>'Combined TOU Profile'!G8</f>
        <v>0</v>
      </c>
      <c r="D8" s="101">
        <f>'Combined TOU Profile'!H8</f>
        <v>2137</v>
      </c>
      <c r="E8" s="101">
        <f t="shared" si="0"/>
        <v>2137</v>
      </c>
      <c r="F8" s="101">
        <f t="shared" si="1"/>
        <v>64.7575757575758</v>
      </c>
      <c r="G8" s="101">
        <f>'Combined TOU Profile'!M8</f>
        <v>655</v>
      </c>
      <c r="H8" s="101">
        <f>'Model Assumptions'!$C$30</f>
        <v>100</v>
      </c>
      <c r="I8" s="101">
        <f>'Model Assumptions'!$C$10*'Model Assumptions'!$C$13*'Model Assumptions'!$C$14</f>
        <v>183.8592</v>
      </c>
      <c r="J8" s="101">
        <f>'Model Assumptions'!$C$12</f>
        <v>107.52</v>
      </c>
      <c r="K8" s="101">
        <f t="shared" si="2"/>
        <v>1</v>
      </c>
      <c r="L8" s="101">
        <f t="shared" si="3"/>
        <v>1</v>
      </c>
      <c r="M8" s="101">
        <f t="shared" si="4"/>
        <v>1</v>
      </c>
      <c r="N8" s="60" t="str">
        <f>'Combined TOU Profile'!U8</f>
        <v>Complete</v>
      </c>
    </row>
    <row r="9" ht="17" spans="1:14">
      <c r="A9" s="55" t="str">
        <f>'Combined TOU Profile'!A9</f>
        <v>Feb 2024</v>
      </c>
      <c r="B9" s="101">
        <v>30</v>
      </c>
      <c r="C9" s="101">
        <f>'Combined TOU Profile'!G9</f>
        <v>0</v>
      </c>
      <c r="D9" s="101">
        <f>'Combined TOU Profile'!H9</f>
        <v>1802</v>
      </c>
      <c r="E9" s="101">
        <f t="shared" si="0"/>
        <v>1802</v>
      </c>
      <c r="F9" s="101">
        <f t="shared" si="1"/>
        <v>60.0666666666667</v>
      </c>
      <c r="G9" s="101">
        <f>'Combined TOU Profile'!M9</f>
        <v>640</v>
      </c>
      <c r="H9" s="101">
        <f>'Model Assumptions'!$C$30</f>
        <v>100</v>
      </c>
      <c r="I9" s="101">
        <f>'Model Assumptions'!$C$10*'Model Assumptions'!$C$13*'Model Assumptions'!$C$14</f>
        <v>183.8592</v>
      </c>
      <c r="J9" s="101">
        <f>'Model Assumptions'!$C$12</f>
        <v>107.52</v>
      </c>
      <c r="K9" s="101">
        <f t="shared" si="2"/>
        <v>1</v>
      </c>
      <c r="L9" s="101">
        <f t="shared" si="3"/>
        <v>1</v>
      </c>
      <c r="M9" s="101">
        <f t="shared" si="4"/>
        <v>1</v>
      </c>
      <c r="N9" s="60" t="str">
        <f>'Combined TOU Profile'!U9</f>
        <v>Complete</v>
      </c>
    </row>
    <row r="10" ht="17" spans="1:14">
      <c r="A10" s="55" t="str">
        <f>'Combined TOU Profile'!A10</f>
        <v>Mar 2024</v>
      </c>
      <c r="B10" s="101">
        <v>29</v>
      </c>
      <c r="C10" s="101">
        <f>'Combined TOU Profile'!G10</f>
        <v>0</v>
      </c>
      <c r="D10" s="101">
        <f>'Combined TOU Profile'!H10</f>
        <v>1437</v>
      </c>
      <c r="E10" s="101">
        <f t="shared" si="0"/>
        <v>1437</v>
      </c>
      <c r="F10" s="101">
        <f t="shared" si="1"/>
        <v>49.551724137931</v>
      </c>
      <c r="G10" s="101">
        <f>'Combined TOU Profile'!M10</f>
        <v>500</v>
      </c>
      <c r="H10" s="101">
        <f>'Model Assumptions'!$C$30</f>
        <v>100</v>
      </c>
      <c r="I10" s="101">
        <f>'Model Assumptions'!$C$10*'Model Assumptions'!$C$13*'Model Assumptions'!$C$14</f>
        <v>183.8592</v>
      </c>
      <c r="J10" s="101">
        <f>'Model Assumptions'!$C$12</f>
        <v>107.52</v>
      </c>
      <c r="K10" s="101">
        <f t="shared" si="2"/>
        <v>1</v>
      </c>
      <c r="L10" s="101">
        <f t="shared" si="3"/>
        <v>1</v>
      </c>
      <c r="M10" s="101">
        <f t="shared" si="4"/>
        <v>1</v>
      </c>
      <c r="N10" s="60" t="str">
        <f>'Combined TOU Profile'!U10</f>
        <v>Complete</v>
      </c>
    </row>
    <row r="11" ht="17" spans="1:14">
      <c r="A11" s="55" t="str">
        <f>'Combined TOU Profile'!A11</f>
        <v>Apr 2024</v>
      </c>
      <c r="B11" s="101">
        <v>32</v>
      </c>
      <c r="C11" s="101">
        <f>'Combined TOU Profile'!G11</f>
        <v>0</v>
      </c>
      <c r="D11" s="101">
        <f>'Combined TOU Profile'!H11</f>
        <v>1317</v>
      </c>
      <c r="E11" s="101">
        <f t="shared" si="0"/>
        <v>1317</v>
      </c>
      <c r="F11" s="101">
        <f t="shared" si="1"/>
        <v>41.15625</v>
      </c>
      <c r="G11" s="101">
        <f>'Combined TOU Profile'!M11</f>
        <v>442</v>
      </c>
      <c r="H11" s="101">
        <f>'Model Assumptions'!$C$30</f>
        <v>100</v>
      </c>
      <c r="I11" s="101">
        <f>'Model Assumptions'!$C$10*'Model Assumptions'!$C$13*'Model Assumptions'!$C$14</f>
        <v>183.8592</v>
      </c>
      <c r="J11" s="101">
        <f>'Model Assumptions'!$C$12</f>
        <v>107.52</v>
      </c>
      <c r="K11" s="101">
        <f t="shared" si="2"/>
        <v>1</v>
      </c>
      <c r="L11" s="101">
        <f t="shared" si="3"/>
        <v>1</v>
      </c>
      <c r="M11" s="101">
        <f t="shared" si="4"/>
        <v>1</v>
      </c>
      <c r="N11" s="60" t="str">
        <f>'Combined TOU Profile'!U11</f>
        <v>Complete</v>
      </c>
    </row>
    <row r="12" ht="34" spans="1:14">
      <c r="A12" s="55" t="str">
        <f>'Combined TOU Profile'!A12</f>
        <v>May 2024</v>
      </c>
      <c r="B12" s="101">
        <v>29</v>
      </c>
      <c r="C12" s="101">
        <f>'Combined TOU Profile'!G12</f>
        <v>403.833237303482</v>
      </c>
      <c r="D12" s="101">
        <f>'Combined TOU Profile'!H12</f>
        <v>876.329080582764</v>
      </c>
      <c r="E12" s="101">
        <f t="shared" si="0"/>
        <v>1280.16231788625</v>
      </c>
      <c r="F12" s="101">
        <f t="shared" si="1"/>
        <v>44.143528202974</v>
      </c>
      <c r="G12" s="101">
        <f>'Combined TOU Profile'!M12</f>
        <v>466</v>
      </c>
      <c r="H12" s="101">
        <f>'Model Assumptions'!$C$30</f>
        <v>100</v>
      </c>
      <c r="I12" s="101">
        <f>'Model Assumptions'!$C$10*'Model Assumptions'!$C$13*'Model Assumptions'!$C$14</f>
        <v>183.8592</v>
      </c>
      <c r="J12" s="101">
        <f>'Model Assumptions'!$C$12</f>
        <v>107.52</v>
      </c>
      <c r="K12" s="101">
        <f t="shared" si="2"/>
        <v>1</v>
      </c>
      <c r="L12" s="101">
        <f t="shared" si="3"/>
        <v>1</v>
      </c>
      <c r="M12" s="101">
        <f t="shared" si="4"/>
        <v>1</v>
      </c>
      <c r="N12" s="60" t="str">
        <f>'Combined TOU Profile'!U12</f>
        <v>Estimated — Meter1 May TOU from adjacent periods</v>
      </c>
    </row>
    <row r="13" ht="17" spans="1:14">
      <c r="A13" s="55" t="str">
        <f>'Combined TOU Profile'!A13</f>
        <v>Jun 2024</v>
      </c>
      <c r="B13" s="101">
        <v>30</v>
      </c>
      <c r="C13" s="101">
        <f>'Combined TOU Profile'!G13</f>
        <v>1008</v>
      </c>
      <c r="D13" s="101">
        <f>'Combined TOU Profile'!H13</f>
        <v>993</v>
      </c>
      <c r="E13" s="101">
        <f t="shared" si="0"/>
        <v>2001</v>
      </c>
      <c r="F13" s="101">
        <f t="shared" si="1"/>
        <v>66.7</v>
      </c>
      <c r="G13" s="101">
        <f>'Combined TOU Profile'!M13</f>
        <v>471</v>
      </c>
      <c r="H13" s="101">
        <f>'Model Assumptions'!$C$30</f>
        <v>100</v>
      </c>
      <c r="I13" s="101">
        <f>'Model Assumptions'!$C$10*'Model Assumptions'!$C$13*'Model Assumptions'!$C$14</f>
        <v>183.8592</v>
      </c>
      <c r="J13" s="101">
        <f>'Model Assumptions'!$C$12</f>
        <v>107.52</v>
      </c>
      <c r="K13" s="101">
        <f t="shared" si="2"/>
        <v>1</v>
      </c>
      <c r="L13" s="101">
        <f t="shared" si="3"/>
        <v>1</v>
      </c>
      <c r="M13" s="101">
        <f t="shared" si="4"/>
        <v>1</v>
      </c>
      <c r="N13" s="60" t="str">
        <f>'Combined TOU Profile'!U13</f>
        <v>Complete</v>
      </c>
    </row>
    <row r="14" ht="17" spans="1:14">
      <c r="A14" s="55" t="str">
        <f>'Combined TOU Profile'!A14</f>
        <v>Jul 2024</v>
      </c>
      <c r="B14" s="101">
        <v>33</v>
      </c>
      <c r="C14" s="101">
        <f>'Combined TOU Profile'!G14</f>
        <v>2075</v>
      </c>
      <c r="D14" s="101">
        <f>'Combined TOU Profile'!H14</f>
        <v>723</v>
      </c>
      <c r="E14" s="101">
        <f t="shared" si="0"/>
        <v>2798</v>
      </c>
      <c r="F14" s="101">
        <f t="shared" si="1"/>
        <v>84.7878787878788</v>
      </c>
      <c r="G14" s="101">
        <f>'Combined TOU Profile'!M14</f>
        <v>725</v>
      </c>
      <c r="H14" s="101">
        <f>'Model Assumptions'!$C$30</f>
        <v>100</v>
      </c>
      <c r="I14" s="101">
        <f>'Model Assumptions'!$C$10*'Model Assumptions'!$C$13*'Model Assumptions'!$C$14</f>
        <v>183.8592</v>
      </c>
      <c r="J14" s="101">
        <f>'Model Assumptions'!$C$12</f>
        <v>107.52</v>
      </c>
      <c r="K14" s="101">
        <f t="shared" si="2"/>
        <v>1</v>
      </c>
      <c r="L14" s="101">
        <f t="shared" si="3"/>
        <v>1</v>
      </c>
      <c r="M14" s="101">
        <f t="shared" si="4"/>
        <v>1</v>
      </c>
      <c r="N14" s="60" t="str">
        <f>'Combined TOU Profile'!U14</f>
        <v>Complete</v>
      </c>
    </row>
    <row r="15" ht="17" spans="1:14">
      <c r="A15" s="55" t="str">
        <f>'Combined TOU Profile'!A15</f>
        <v>Aug 2024</v>
      </c>
      <c r="B15" s="101">
        <v>29</v>
      </c>
      <c r="C15" s="101">
        <f>'Combined TOU Profile'!G15</f>
        <v>4892</v>
      </c>
      <c r="D15" s="101">
        <f>'Combined TOU Profile'!H15</f>
        <v>631</v>
      </c>
      <c r="E15" s="101">
        <f t="shared" si="0"/>
        <v>5523</v>
      </c>
      <c r="F15" s="101">
        <f t="shared" si="1"/>
        <v>190.448275862069</v>
      </c>
      <c r="G15" s="101">
        <f>'Combined TOU Profile'!M15</f>
        <v>705</v>
      </c>
      <c r="H15" s="101">
        <f>'Model Assumptions'!$C$30</f>
        <v>100</v>
      </c>
      <c r="I15" s="101">
        <f>'Model Assumptions'!$C$10*'Model Assumptions'!$C$13*'Model Assumptions'!$C$14</f>
        <v>183.8592</v>
      </c>
      <c r="J15" s="101">
        <f>'Model Assumptions'!$C$12</f>
        <v>107.52</v>
      </c>
      <c r="K15" s="101">
        <f t="shared" si="2"/>
        <v>2</v>
      </c>
      <c r="L15" s="101">
        <f t="shared" si="3"/>
        <v>1</v>
      </c>
      <c r="M15" s="101">
        <f t="shared" si="4"/>
        <v>2</v>
      </c>
      <c r="N15" s="60" t="str">
        <f>'Combined TOU Profile'!U15</f>
        <v>Complete</v>
      </c>
    </row>
    <row r="16" ht="17" spans="1:14">
      <c r="A16" s="55" t="str">
        <f>'Combined TOU Profile'!A16</f>
        <v>Sep 2024</v>
      </c>
      <c r="B16" s="101">
        <v>30</v>
      </c>
      <c r="C16" s="101">
        <f>'Combined TOU Profile'!G16</f>
        <v>3782</v>
      </c>
      <c r="D16" s="101">
        <f>'Combined TOU Profile'!H16</f>
        <v>629</v>
      </c>
      <c r="E16" s="101">
        <f t="shared" si="0"/>
        <v>4411</v>
      </c>
      <c r="F16" s="101">
        <f t="shared" si="1"/>
        <v>147.033333333333</v>
      </c>
      <c r="G16" s="101">
        <f>'Combined TOU Profile'!M16</f>
        <v>730</v>
      </c>
      <c r="H16" s="101">
        <f>'Model Assumptions'!$C$30</f>
        <v>100</v>
      </c>
      <c r="I16" s="101">
        <f>'Model Assumptions'!$C$10*'Model Assumptions'!$C$13*'Model Assumptions'!$C$14</f>
        <v>183.8592</v>
      </c>
      <c r="J16" s="101">
        <f>'Model Assumptions'!$C$12</f>
        <v>107.52</v>
      </c>
      <c r="K16" s="101">
        <f t="shared" si="2"/>
        <v>1</v>
      </c>
      <c r="L16" s="101">
        <f t="shared" si="3"/>
        <v>1</v>
      </c>
      <c r="M16" s="101">
        <f t="shared" si="4"/>
        <v>1</v>
      </c>
      <c r="N16" s="60" t="str">
        <f>'Combined TOU Profile'!U16</f>
        <v>Complete</v>
      </c>
    </row>
    <row r="17" ht="34" spans="1:14">
      <c r="A17" s="102" t="s">
        <v>238</v>
      </c>
      <c r="B17" s="103"/>
      <c r="C17" s="103"/>
      <c r="D17" s="103"/>
      <c r="E17" s="103"/>
      <c r="F17" s="103">
        <f>MAX(F5:F16)</f>
        <v>190.448275862069</v>
      </c>
      <c r="G17" s="103">
        <f>MAX(G5:G16)</f>
        <v>730</v>
      </c>
      <c r="H17" s="103">
        <f>MAX(H5:H16)</f>
        <v>100</v>
      </c>
      <c r="I17" s="103">
        <f>I5</f>
        <v>183.8592</v>
      </c>
      <c r="J17" s="103">
        <f>J5</f>
        <v>107.52</v>
      </c>
      <c r="K17" s="103">
        <f>MAX(K5:K16)</f>
        <v>2</v>
      </c>
      <c r="L17" s="103">
        <f>MAX(L5:L16)</f>
        <v>1</v>
      </c>
      <c r="M17" s="103">
        <f>MAX(M5:M16)</f>
        <v>2</v>
      </c>
      <c r="N17" s="104"/>
    </row>
  </sheetData>
  <mergeCells count="2">
    <mergeCell ref="A1:N1"/>
    <mergeCell ref="A2:N2"/>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
  <sheetViews>
    <sheetView zoomScale="167" zoomScaleNormal="167" workbookViewId="0">
      <selection activeCell="A1" sqref="A1:P1"/>
    </sheetView>
  </sheetViews>
  <sheetFormatPr defaultColWidth="9" defaultRowHeight="16.8" outlineLevelRow="7"/>
  <cols>
    <col min="1" max="1" width="18" customWidth="1"/>
    <col min="2" max="2" width="12" customWidth="1"/>
    <col min="3" max="3" width="14" customWidth="1"/>
    <col min="4" max="4" width="18" customWidth="1"/>
    <col min="5" max="5" width="15" customWidth="1"/>
    <col min="6" max="6" width="12" customWidth="1"/>
    <col min="7" max="8" width="20" customWidth="1"/>
    <col min="9" max="10" width="17" customWidth="1"/>
    <col min="11" max="12" width="15" customWidth="1"/>
    <col min="13" max="13" width="18" customWidth="1"/>
    <col min="14" max="14" width="22" customWidth="1"/>
    <col min="15" max="15" width="16" customWidth="1"/>
    <col min="16" max="16" width="18" customWidth="1"/>
  </cols>
  <sheetData>
    <row r="1" ht="23.2" spans="1:16">
      <c r="A1" s="62" t="s">
        <v>239</v>
      </c>
      <c r="B1" s="62"/>
      <c r="C1" s="62"/>
      <c r="D1" s="62"/>
      <c r="E1" s="62"/>
      <c r="F1" s="62"/>
      <c r="G1" s="62"/>
      <c r="H1" s="62"/>
      <c r="I1" s="62"/>
      <c r="J1" s="62"/>
      <c r="K1" s="62"/>
      <c r="L1" s="62"/>
      <c r="M1" s="62"/>
      <c r="N1" s="62"/>
      <c r="O1" s="62"/>
      <c r="P1" s="62"/>
    </row>
    <row r="3" ht="34" spans="1:16">
      <c r="A3" s="73" t="s">
        <v>240</v>
      </c>
      <c r="B3" s="74" t="s">
        <v>241</v>
      </c>
      <c r="C3" s="74" t="s">
        <v>242</v>
      </c>
      <c r="D3" s="74" t="s">
        <v>243</v>
      </c>
      <c r="E3" s="74" t="s">
        <v>244</v>
      </c>
      <c r="F3" s="74" t="s">
        <v>245</v>
      </c>
      <c r="G3" s="74" t="s">
        <v>246</v>
      </c>
      <c r="H3" s="74" t="s">
        <v>247</v>
      </c>
      <c r="I3" s="74" t="s">
        <v>248</v>
      </c>
      <c r="J3" s="74" t="s">
        <v>249</v>
      </c>
      <c r="K3" s="74" t="s">
        <v>250</v>
      </c>
      <c r="L3" s="74" t="s">
        <v>251</v>
      </c>
      <c r="M3" s="74" t="s">
        <v>252</v>
      </c>
      <c r="N3" s="74" t="s">
        <v>253</v>
      </c>
      <c r="O3" s="74" t="s">
        <v>254</v>
      </c>
      <c r="P3" s="83" t="s">
        <v>255</v>
      </c>
    </row>
    <row r="4" spans="1:16">
      <c r="A4" s="65" t="s">
        <v>256</v>
      </c>
      <c r="B4" s="86">
        <v>838</v>
      </c>
      <c r="C4" s="87">
        <f>B4*'Model Assumptions'!$C$5</f>
        <v>406.43</v>
      </c>
      <c r="D4" s="87">
        <f>'Model Assumptions'!$C$7*C4/'Model Assumptions'!$C$6</f>
        <v>710207.514</v>
      </c>
      <c r="E4" s="90">
        <f>D4/'Model Assumptions'!$C$4</f>
        <v>1.00099578999889</v>
      </c>
      <c r="F4" s="91">
        <v>2</v>
      </c>
      <c r="G4" s="87">
        <f>F4*'Model Assumptions'!$C$10</f>
        <v>430.08</v>
      </c>
      <c r="H4" s="87">
        <f>F4*'Model Assumptions'!$C$12</f>
        <v>215.04</v>
      </c>
      <c r="I4" s="91" t="str">
        <f>IF(F4&gt;='ESS Sizing'!$M$17,"PASS","FAIL")</f>
        <v>PASS</v>
      </c>
      <c r="J4" s="91" t="str">
        <f>IF(H4&gt;='ESS Sizing'!$H$17,"PASS","FAIL")</f>
        <v>PASS</v>
      </c>
      <c r="K4" s="94">
        <f>C4*1000*'Model Assumptions'!$C$17</f>
        <v>816924.3</v>
      </c>
      <c r="L4" s="94">
        <f>G4*'Model Assumptions'!$C$18</f>
        <v>258048</v>
      </c>
      <c r="M4" s="94">
        <f>K4+L4</f>
        <v>1074972.3</v>
      </c>
      <c r="N4" s="94">
        <f>Financial!L5</f>
        <v>100318.068908283</v>
      </c>
      <c r="O4" s="96">
        <f>M4/N4</f>
        <v>10.7156398812143</v>
      </c>
      <c r="P4" s="97" t="str">
        <f>IF(AND(E4&gt;='Model Assumptions'!$C$9,I4="PASS",J4="PASS"),"PASS","FAIL")</f>
        <v>PASS</v>
      </c>
    </row>
    <row r="5" spans="1:16">
      <c r="A5" s="65" t="s">
        <v>257</v>
      </c>
      <c r="B5" s="86">
        <v>850</v>
      </c>
      <c r="C5" s="87">
        <f>B5*'Model Assumptions'!$C$5</f>
        <v>412.25</v>
      </c>
      <c r="D5" s="87">
        <f>'Model Assumptions'!$C$7*C5/'Model Assumptions'!$C$6</f>
        <v>720377.55</v>
      </c>
      <c r="E5" s="90">
        <f>D5/'Model Assumptions'!$C$4</f>
        <v>1.01532985859076</v>
      </c>
      <c r="F5" s="91">
        <v>2</v>
      </c>
      <c r="G5" s="87">
        <f>F5*'Model Assumptions'!$C$10</f>
        <v>430.08</v>
      </c>
      <c r="H5" s="87">
        <f>F5*'Model Assumptions'!$C$12</f>
        <v>215.04</v>
      </c>
      <c r="I5" s="91" t="str">
        <f>IF(F5&gt;='ESS Sizing'!$M$17,"PASS","FAIL")</f>
        <v>PASS</v>
      </c>
      <c r="J5" s="91" t="str">
        <f>IF(H5&gt;='ESS Sizing'!$H$17,"PASS","FAIL")</f>
        <v>PASS</v>
      </c>
      <c r="K5" s="94">
        <f>C5*1000*'Model Assumptions'!$C$17</f>
        <v>828622.5</v>
      </c>
      <c r="L5" s="94">
        <f>G5*'Model Assumptions'!$C$18</f>
        <v>258048</v>
      </c>
      <c r="M5" s="94">
        <f>K5+L5</f>
        <v>1086670.5</v>
      </c>
      <c r="N5" s="94">
        <f>Financial!L6</f>
        <v>101051.387477474</v>
      </c>
      <c r="O5" s="96">
        <f>M5/N5</f>
        <v>10.7536425488689</v>
      </c>
      <c r="P5" s="97" t="str">
        <f>IF(AND(E5&gt;='Model Assumptions'!$C$9,I5="PASS",J5="PASS"),"PASS","FAIL")</f>
        <v>PASS</v>
      </c>
    </row>
    <row r="6" spans="1:16">
      <c r="A6" s="65" t="s">
        <v>258</v>
      </c>
      <c r="B6" s="86">
        <v>875</v>
      </c>
      <c r="C6" s="87">
        <f>B6*'Model Assumptions'!$C$5</f>
        <v>424.375</v>
      </c>
      <c r="D6" s="87">
        <f>'Model Assumptions'!$C$7*C6/'Model Assumptions'!$C$6</f>
        <v>741565.125</v>
      </c>
      <c r="E6" s="90">
        <f>D6/'Model Assumptions'!$C$4</f>
        <v>1.04519250149048</v>
      </c>
      <c r="F6" s="91">
        <v>3</v>
      </c>
      <c r="G6" s="87">
        <f>F6*'Model Assumptions'!$C$10</f>
        <v>645.12</v>
      </c>
      <c r="H6" s="87">
        <f>F6*'Model Assumptions'!$C$12</f>
        <v>322.56</v>
      </c>
      <c r="I6" s="91" t="str">
        <f>IF(F6&gt;='ESS Sizing'!$M$17,"PASS","FAIL")</f>
        <v>PASS</v>
      </c>
      <c r="J6" s="91" t="str">
        <f>IF(H6&gt;='ESS Sizing'!$H$17,"PASS","FAIL")</f>
        <v>PASS</v>
      </c>
      <c r="K6" s="94">
        <f>C6*1000*'Model Assumptions'!$C$17</f>
        <v>852993.75</v>
      </c>
      <c r="L6" s="94">
        <f>G6*'Model Assumptions'!$C$18</f>
        <v>387072</v>
      </c>
      <c r="M6" s="94">
        <f>K6+L6</f>
        <v>1240065.75</v>
      </c>
      <c r="N6" s="94">
        <f>Financial!L7</f>
        <v>102579.134496622</v>
      </c>
      <c r="O6" s="96">
        <f>M6/N6</f>
        <v>12.0888693015911</v>
      </c>
      <c r="P6" s="97" t="str">
        <f>IF(AND(E6&gt;='Model Assumptions'!$C$9,I6="PASS",J6="PASS"),"PASS","FAIL")</f>
        <v>PASS</v>
      </c>
    </row>
    <row r="7" spans="1:16">
      <c r="A7" s="65" t="s">
        <v>259</v>
      </c>
      <c r="B7" s="86">
        <v>900</v>
      </c>
      <c r="C7" s="87">
        <f>B7*'Model Assumptions'!$C$5</f>
        <v>436.5</v>
      </c>
      <c r="D7" s="87">
        <f>'Model Assumptions'!$C$7*C7/'Model Assumptions'!$C$6</f>
        <v>762752.7</v>
      </c>
      <c r="E7" s="90">
        <f>D7/'Model Assumptions'!$C$4</f>
        <v>1.07505514439021</v>
      </c>
      <c r="F7" s="91">
        <v>4</v>
      </c>
      <c r="G7" s="87">
        <f>F7*'Model Assumptions'!$C$10</f>
        <v>860.16</v>
      </c>
      <c r="H7" s="87">
        <f>F7*'Model Assumptions'!$C$12</f>
        <v>430.08</v>
      </c>
      <c r="I7" s="91" t="str">
        <f>IF(F7&gt;='ESS Sizing'!$M$17,"PASS","FAIL")</f>
        <v>PASS</v>
      </c>
      <c r="J7" s="91" t="str">
        <f>IF(H7&gt;='ESS Sizing'!$H$17,"PASS","FAIL")</f>
        <v>PASS</v>
      </c>
      <c r="K7" s="94">
        <f>C7*1000*'Model Assumptions'!$C$17</f>
        <v>877365</v>
      </c>
      <c r="L7" s="94">
        <f>G7*'Model Assumptions'!$C$18</f>
        <v>516096</v>
      </c>
      <c r="M7" s="94">
        <f>K7+L7</f>
        <v>1393461</v>
      </c>
      <c r="N7" s="94">
        <f>Financial!L8</f>
        <v>104048.731552528</v>
      </c>
      <c r="O7" s="96">
        <f>M7/N7</f>
        <v>13.3923881551264</v>
      </c>
      <c r="P7" s="97" t="str">
        <f>IF(AND(E7&gt;='Model Assumptions'!$C$9,I7="PASS",J7="PASS"),"PASS","FAIL")</f>
        <v>PASS</v>
      </c>
    </row>
    <row r="8" spans="1:16">
      <c r="A8" s="69" t="s">
        <v>260</v>
      </c>
      <c r="B8" s="88">
        <v>1000</v>
      </c>
      <c r="C8" s="89">
        <f>B8*'Model Assumptions'!$C$5</f>
        <v>485</v>
      </c>
      <c r="D8" s="89">
        <f>'Model Assumptions'!$C$7*C8/'Model Assumptions'!$C$6</f>
        <v>847503</v>
      </c>
      <c r="E8" s="92">
        <f>D8/'Model Assumptions'!$C$4</f>
        <v>1.19450571598912</v>
      </c>
      <c r="F8" s="93">
        <v>6</v>
      </c>
      <c r="G8" s="89">
        <f>F8*'Model Assumptions'!$C$10</f>
        <v>1290.24</v>
      </c>
      <c r="H8" s="89">
        <f>F8*'Model Assumptions'!$C$12</f>
        <v>645.12</v>
      </c>
      <c r="I8" s="93" t="str">
        <f>IF(F8&gt;='ESS Sizing'!$M$17,"PASS","FAIL")</f>
        <v>PASS</v>
      </c>
      <c r="J8" s="93" t="str">
        <f>IF(H8&gt;='ESS Sizing'!$H$17,"PASS","FAIL")</f>
        <v>PASS</v>
      </c>
      <c r="K8" s="95">
        <f>C8*1000*'Model Assumptions'!$C$17</f>
        <v>974850</v>
      </c>
      <c r="L8" s="95">
        <f>G8*'Model Assumptions'!$C$18</f>
        <v>774144</v>
      </c>
      <c r="M8" s="95">
        <f>K8+L8</f>
        <v>1748994</v>
      </c>
      <c r="N8" s="95">
        <f>Financial!L9</f>
        <v>109696.205306619</v>
      </c>
      <c r="O8" s="98">
        <f>M8/N8</f>
        <v>15.9439790566252</v>
      </c>
      <c r="P8" s="99" t="str">
        <f>IF(AND(E8&gt;='Model Assumptions'!$C$9,I8="PASS",J8="PASS"),"PASS","FAIL")</f>
        <v>PASS</v>
      </c>
    </row>
  </sheetData>
  <mergeCells count="1">
    <mergeCell ref="A1:P1"/>
  </mergeCells>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
  <sheetViews>
    <sheetView zoomScale="163" zoomScaleNormal="163" workbookViewId="0">
      <selection activeCell="A3" sqref="A3"/>
    </sheetView>
  </sheetViews>
  <sheetFormatPr defaultColWidth="9" defaultRowHeight="16.8"/>
  <cols>
    <col min="1" max="1" width="18" customWidth="1"/>
    <col min="2" max="2" width="12" customWidth="1"/>
    <col min="3" max="3" width="11" customWidth="1"/>
    <col min="4" max="4" width="16" customWidth="1"/>
    <col min="5" max="5" width="24" customWidth="1"/>
    <col min="6" max="6" width="18" customWidth="1"/>
    <col min="7" max="7" width="24" customWidth="1"/>
    <col min="8" max="9" width="18" customWidth="1"/>
    <col min="10" max="10" width="20" customWidth="1"/>
    <col min="11" max="11" width="22" customWidth="1"/>
    <col min="12" max="12" width="24" customWidth="1"/>
  </cols>
  <sheetData>
    <row r="1" ht="23.2" spans="1:12">
      <c r="A1" s="2" t="s">
        <v>261</v>
      </c>
      <c r="B1" s="2"/>
      <c r="C1" s="2"/>
      <c r="D1" s="2"/>
      <c r="E1" s="2"/>
      <c r="F1" s="2"/>
      <c r="G1" s="2"/>
      <c r="H1" s="2"/>
      <c r="I1" s="2"/>
      <c r="J1" s="2"/>
      <c r="K1" s="2"/>
      <c r="L1" s="2"/>
    </row>
    <row r="2" spans="1:12">
      <c r="A2" s="72" t="s">
        <v>262</v>
      </c>
      <c r="B2" s="72"/>
      <c r="C2" s="72"/>
      <c r="D2" s="72"/>
      <c r="E2" s="72"/>
      <c r="F2" s="72"/>
      <c r="G2" s="72"/>
      <c r="H2" s="72"/>
      <c r="I2" s="72"/>
      <c r="J2" s="72"/>
      <c r="K2" s="72"/>
      <c r="L2" s="72"/>
    </row>
    <row r="3" spans="1:12">
      <c r="A3" s="3"/>
      <c r="B3" s="3"/>
      <c r="C3" s="3"/>
      <c r="D3" s="3"/>
      <c r="E3" s="3"/>
      <c r="F3" s="3"/>
      <c r="G3" s="3"/>
      <c r="H3" s="3"/>
      <c r="I3" s="3"/>
      <c r="J3" s="3"/>
      <c r="K3" s="3"/>
      <c r="L3" s="3"/>
    </row>
    <row r="4" ht="34" spans="1:12">
      <c r="A4" s="73" t="s">
        <v>240</v>
      </c>
      <c r="B4" s="74" t="s">
        <v>241</v>
      </c>
      <c r="C4" s="74" t="s">
        <v>245</v>
      </c>
      <c r="D4" s="74" t="s">
        <v>263</v>
      </c>
      <c r="E4" s="74" t="s">
        <v>222</v>
      </c>
      <c r="F4" s="74" t="s">
        <v>264</v>
      </c>
      <c r="G4" s="74" t="s">
        <v>265</v>
      </c>
      <c r="H4" s="74" t="s">
        <v>266</v>
      </c>
      <c r="I4" s="74" t="s">
        <v>267</v>
      </c>
      <c r="J4" s="74" t="s">
        <v>268</v>
      </c>
      <c r="K4" s="74" t="s">
        <v>269</v>
      </c>
      <c r="L4" s="83" t="s">
        <v>253</v>
      </c>
    </row>
    <row r="5" ht="17" spans="1:12">
      <c r="A5" s="55" t="str">
        <f>Scenarios!A4</f>
        <v>Minimum</v>
      </c>
      <c r="B5" s="56">
        <f>Scenarios!B4</f>
        <v>838</v>
      </c>
      <c r="C5" s="56">
        <f>Scenarios!F4</f>
        <v>2</v>
      </c>
      <c r="D5" s="75">
        <f>Scenarios!D4</f>
        <v>710207.514</v>
      </c>
      <c r="E5" s="75">
        <f>MIN('Combined TOU Profile'!F8,51780*(Scenarios!C4/'Model Assumptions'!$C$6))+MIN('Combined TOU Profile'!F9,55888*(Scenarios!C4/'Model Assumptions'!$C$6))+MIN('Combined TOU Profile'!F10,73686*(Scenarios!C4/'Model Assumptions'!$C$6))+MIN('Combined TOU Profile'!F11,82939*(Scenarios!C4/'Model Assumptions'!$C$6))+MIN('Combined TOU Profile'!F12,91798*(Scenarios!C4/'Model Assumptions'!$C$6))+MIN('Combined TOU Profile'!F13,91057*(Scenarios!C4/'Model Assumptions'!$C$6))+MIN('Combined TOU Profile'!F14,84094*(Scenarios!C4/'Model Assumptions'!$C$6))+MIN('Combined TOU Profile'!F15,83095*(Scenarios!C4/'Model Assumptions'!$C$6))+MIN('Combined TOU Profile'!F16,72370*(Scenarios!C4/'Model Assumptions'!$C$6))+MIN('Combined TOU Profile'!F5,65606*(Scenarios!C4/'Model Assumptions'!$C$6))+MIN('Combined TOU Profile'!F6,51050*(Scenarios!C4/'Model Assumptions'!$C$6))+MIN('Combined TOU Profile'!F7,44140*(Scenarios!C4/'Model Assumptions'!$C$6))</f>
        <v>615927.446</v>
      </c>
      <c r="F5" s="75">
        <f>MAX(D5-E5,0)</f>
        <v>94280.0680000001</v>
      </c>
      <c r="G5" s="79">
        <f>'Combined TOU Profile'!P17/'Combined TOU Profile'!F17</f>
        <v>0.0923463175373466</v>
      </c>
      <c r="H5" s="80">
        <f>E5*G5</f>
        <v>56878.6315082829</v>
      </c>
      <c r="I5" s="80">
        <f>F5*'Model Assumptions'!$C$16</f>
        <v>4714.0034</v>
      </c>
      <c r="J5" s="80">
        <f>'Combined TOU Profile'!Q17*MIN('Model Assumptions'!$C$15,(Scenarios!H4/'ESS Sizing'!$G$17))</f>
        <v>38725.434</v>
      </c>
      <c r="K5" s="80">
        <v>0</v>
      </c>
      <c r="L5" s="84">
        <f>SUM(H5:K5)</f>
        <v>100318.068908283</v>
      </c>
    </row>
    <row r="6" ht="17" spans="1:12">
      <c r="A6" s="55" t="str">
        <f>Scenarios!A5</f>
        <v>Balanced A</v>
      </c>
      <c r="B6" s="56">
        <f>Scenarios!B5</f>
        <v>850</v>
      </c>
      <c r="C6" s="56">
        <f>Scenarios!F5</f>
        <v>2</v>
      </c>
      <c r="D6" s="75">
        <f>Scenarios!D5</f>
        <v>720377.55</v>
      </c>
      <c r="E6" s="75">
        <f>MIN('Combined TOU Profile'!F8,51780*(Scenarios!C5/'Model Assumptions'!$C$6))+MIN('Combined TOU Profile'!F9,55888*(Scenarios!C5/'Model Assumptions'!$C$6))+MIN('Combined TOU Profile'!F10,73686*(Scenarios!C5/'Model Assumptions'!$C$6))+MIN('Combined TOU Profile'!F11,82939*(Scenarios!C5/'Model Assumptions'!$C$6))+MIN('Combined TOU Profile'!F12,91798*(Scenarios!C5/'Model Assumptions'!$C$6))+MIN('Combined TOU Profile'!F13,91057*(Scenarios!C5/'Model Assumptions'!$C$6))+MIN('Combined TOU Profile'!F14,84094*(Scenarios!C5/'Model Assumptions'!$C$6))+MIN('Combined TOU Profile'!F15,83095*(Scenarios!C5/'Model Assumptions'!$C$6))+MIN('Combined TOU Profile'!F16,72370*(Scenarios!C5/'Model Assumptions'!$C$6))+MIN('Combined TOU Profile'!F5,65606*(Scenarios!C5/'Model Assumptions'!$C$6))+MIN('Combined TOU Profile'!F6,51050*(Scenarios!C5/'Model Assumptions'!$C$6))+MIN('Combined TOU Profile'!F7,44140*(Scenarios!C5/'Model Assumptions'!$C$6))</f>
        <v>621236.45</v>
      </c>
      <c r="F6" s="75">
        <f>MAX(D6-E6,0)</f>
        <v>99141.1000000001</v>
      </c>
      <c r="G6" s="79">
        <f>'Combined TOU Profile'!P17/'Combined TOU Profile'!F17</f>
        <v>0.0923463175373466</v>
      </c>
      <c r="H6" s="80">
        <f>E6*G6</f>
        <v>57368.8984774739</v>
      </c>
      <c r="I6" s="80">
        <f>F6*'Model Assumptions'!$C$16</f>
        <v>4957.055</v>
      </c>
      <c r="J6" s="80">
        <f>'Combined TOU Profile'!Q17*MIN('Model Assumptions'!$C$15,(Scenarios!H5/'ESS Sizing'!$G$17))</f>
        <v>38725.434</v>
      </c>
      <c r="K6" s="80">
        <v>0</v>
      </c>
      <c r="L6" s="84">
        <f>SUM(H6:K6)</f>
        <v>101051.387477474</v>
      </c>
    </row>
    <row r="7" ht="17" spans="1:12">
      <c r="A7" s="55" t="str">
        <f>Scenarios!A6</f>
        <v>Balanced B</v>
      </c>
      <c r="B7" s="56">
        <f>Scenarios!B6</f>
        <v>875</v>
      </c>
      <c r="C7" s="56">
        <f>Scenarios!F6</f>
        <v>3</v>
      </c>
      <c r="D7" s="75">
        <f>Scenarios!D6</f>
        <v>741565.125</v>
      </c>
      <c r="E7" s="75">
        <f>MIN('Combined TOU Profile'!F8,51780*(Scenarios!C6/'Model Assumptions'!$C$6))+MIN('Combined TOU Profile'!F9,55888*(Scenarios!C6/'Model Assumptions'!$C$6))+MIN('Combined TOU Profile'!F10,73686*(Scenarios!C6/'Model Assumptions'!$C$6))+MIN('Combined TOU Profile'!F11,82939*(Scenarios!C6/'Model Assumptions'!$C$6))+MIN('Combined TOU Profile'!F12,91798*(Scenarios!C6/'Model Assumptions'!$C$6))+MIN('Combined TOU Profile'!F13,91057*(Scenarios!C6/'Model Assumptions'!$C$6))+MIN('Combined TOU Profile'!F14,84094*(Scenarios!C6/'Model Assumptions'!$C$6))+MIN('Combined TOU Profile'!F15,83095*(Scenarios!C6/'Model Assumptions'!$C$6))+MIN('Combined TOU Profile'!F16,72370*(Scenarios!C6/'Model Assumptions'!$C$6))+MIN('Combined TOU Profile'!F5,65606*(Scenarios!C6/'Model Assumptions'!$C$6))+MIN('Combined TOU Profile'!F6,51050*(Scenarios!C6/'Model Assumptions'!$C$6))+MIN('Combined TOU Profile'!F7,44140*(Scenarios!C6/'Model Assumptions'!$C$6))</f>
        <v>632296.875</v>
      </c>
      <c r="F7" s="75">
        <f>MAX(D7-E7,0)</f>
        <v>109268.25</v>
      </c>
      <c r="G7" s="79">
        <f>'Combined TOU Profile'!P17/'Combined TOU Profile'!F17</f>
        <v>0.0923463175373466</v>
      </c>
      <c r="H7" s="80">
        <f>E7*G7</f>
        <v>58390.2879966219</v>
      </c>
      <c r="I7" s="80">
        <f>F7*'Model Assumptions'!$C$16</f>
        <v>5463.4125</v>
      </c>
      <c r="J7" s="80">
        <f>'Combined TOU Profile'!Q17*MIN('Model Assumptions'!$C$15,(Scenarios!H6/'ESS Sizing'!$G$17))</f>
        <v>38725.434</v>
      </c>
      <c r="K7" s="80">
        <v>0</v>
      </c>
      <c r="L7" s="84">
        <f>SUM(H7:K7)</f>
        <v>102579.134496622</v>
      </c>
    </row>
    <row r="8" ht="17" spans="1:12">
      <c r="A8" s="55" t="str">
        <f>Scenarios!A7</f>
        <v>Higher Storage</v>
      </c>
      <c r="B8" s="56">
        <f>Scenarios!B7</f>
        <v>900</v>
      </c>
      <c r="C8" s="56">
        <f>Scenarios!F7</f>
        <v>4</v>
      </c>
      <c r="D8" s="75">
        <f>Scenarios!D7</f>
        <v>762752.7</v>
      </c>
      <c r="E8" s="75">
        <f>MIN('Combined TOU Profile'!F8,51780*(Scenarios!C7/'Model Assumptions'!$C$6))+MIN('Combined TOU Profile'!F9,55888*(Scenarios!C7/'Model Assumptions'!$C$6))+MIN('Combined TOU Profile'!F10,73686*(Scenarios!C7/'Model Assumptions'!$C$6))+MIN('Combined TOU Profile'!F11,82939*(Scenarios!C7/'Model Assumptions'!$C$6))+MIN('Combined TOU Profile'!F12,91798*(Scenarios!C7/'Model Assumptions'!$C$6))+MIN('Combined TOU Profile'!F13,91057*(Scenarios!C7/'Model Assumptions'!$C$6))+MIN('Combined TOU Profile'!F14,84094*(Scenarios!C7/'Model Assumptions'!$C$6))+MIN('Combined TOU Profile'!F15,83095*(Scenarios!C7/'Model Assumptions'!$C$6))+MIN('Combined TOU Profile'!F16,72370*(Scenarios!C7/'Model Assumptions'!$C$6))+MIN('Combined TOU Profile'!F5,65606*(Scenarios!C7/'Model Assumptions'!$C$6))+MIN('Combined TOU Profile'!F6,51050*(Scenarios!C7/'Model Assumptions'!$C$6))+MIN('Combined TOU Profile'!F7,44140*(Scenarios!C7/'Model Assumptions'!$C$6))</f>
        <v>641984.1</v>
      </c>
      <c r="F8" s="75">
        <f>MAX(D8-E8,0)</f>
        <v>120768.6</v>
      </c>
      <c r="G8" s="79">
        <f>'Combined TOU Profile'!P17/'Combined TOU Profile'!F17</f>
        <v>0.0923463175373466</v>
      </c>
      <c r="H8" s="80">
        <f>E8*G8</f>
        <v>59284.8675525277</v>
      </c>
      <c r="I8" s="80">
        <f>F8*'Model Assumptions'!$C$16</f>
        <v>6038.43</v>
      </c>
      <c r="J8" s="80">
        <f>'Combined TOU Profile'!Q17*MIN('Model Assumptions'!$C$15,(Scenarios!H7/'ESS Sizing'!$G$17))</f>
        <v>38725.434</v>
      </c>
      <c r="K8" s="80">
        <v>0</v>
      </c>
      <c r="L8" s="84">
        <f>SUM(H8:K8)</f>
        <v>104048.731552528</v>
      </c>
    </row>
    <row r="9" ht="17" spans="1:12">
      <c r="A9" s="57" t="str">
        <f>Scenarios!A8</f>
        <v>Historical PV Scale</v>
      </c>
      <c r="B9" s="58">
        <f>Scenarios!B8</f>
        <v>1000</v>
      </c>
      <c r="C9" s="58">
        <f>Scenarios!F8</f>
        <v>6</v>
      </c>
      <c r="D9" s="76">
        <f>Scenarios!D8</f>
        <v>847503</v>
      </c>
      <c r="E9" s="76">
        <f>MIN('Combined TOU Profile'!F8,51780*(Scenarios!C8/'Model Assumptions'!$C$6))+MIN('Combined TOU Profile'!F9,55888*(Scenarios!C8/'Model Assumptions'!$C$6))+MIN('Combined TOU Profile'!F10,73686*(Scenarios!C8/'Model Assumptions'!$C$6))+MIN('Combined TOU Profile'!F11,82939*(Scenarios!C8/'Model Assumptions'!$C$6))+MIN('Combined TOU Profile'!F12,91798*(Scenarios!C8/'Model Assumptions'!$C$6))+MIN('Combined TOU Profile'!F13,91057*(Scenarios!C8/'Model Assumptions'!$C$6))+MIN('Combined TOU Profile'!F14,84094*(Scenarios!C8/'Model Assumptions'!$C$6))+MIN('Combined TOU Profile'!F15,83095*(Scenarios!C8/'Model Assumptions'!$C$6))+MIN('Combined TOU Profile'!F16,72370*(Scenarios!C8/'Model Assumptions'!$C$6))+MIN('Combined TOU Profile'!F5,65606*(Scenarios!C8/'Model Assumptions'!$C$6))+MIN('Combined TOU Profile'!F6,51050*(Scenarios!C8/'Model Assumptions'!$C$6))+MIN('Combined TOU Profile'!F7,44140*(Scenarios!C8/'Model Assumptions'!$C$6))</f>
        <v>675280</v>
      </c>
      <c r="F9" s="76">
        <f>MAX(D9-E9,0)</f>
        <v>172223</v>
      </c>
      <c r="G9" s="81">
        <f>'Combined TOU Profile'!P17/'Combined TOU Profile'!F17</f>
        <v>0.0923463175373466</v>
      </c>
      <c r="H9" s="82">
        <f>E9*G9</f>
        <v>62359.6213066194</v>
      </c>
      <c r="I9" s="82">
        <f>F9*'Model Assumptions'!$C$16</f>
        <v>8611.15</v>
      </c>
      <c r="J9" s="82">
        <f>'Combined TOU Profile'!Q17*MIN('Model Assumptions'!$C$15,(Scenarios!H8/'ESS Sizing'!$G$17))</f>
        <v>38725.434</v>
      </c>
      <c r="K9" s="82">
        <v>0</v>
      </c>
      <c r="L9" s="85">
        <f>SUM(H9:K9)</f>
        <v>109696.205306619</v>
      </c>
    </row>
    <row r="10" spans="1:12">
      <c r="A10" s="3"/>
      <c r="B10" s="3"/>
      <c r="C10" s="3"/>
      <c r="D10" s="3"/>
      <c r="E10" s="3"/>
      <c r="F10" s="3"/>
      <c r="G10" s="3"/>
      <c r="H10" s="3"/>
      <c r="I10" s="3"/>
      <c r="J10" s="3"/>
      <c r="K10" s="3"/>
      <c r="L10" s="3"/>
    </row>
    <row r="11" spans="1:12">
      <c r="A11" s="3"/>
      <c r="B11" s="3"/>
      <c r="C11" s="3"/>
      <c r="D11" s="3"/>
      <c r="E11" s="3"/>
      <c r="F11" s="3"/>
      <c r="G11" s="3"/>
      <c r="H11" s="3"/>
      <c r="I11" s="3"/>
      <c r="J11" s="3"/>
      <c r="K11" s="3"/>
      <c r="L11" s="3"/>
    </row>
    <row r="12" ht="17" spans="1:12">
      <c r="A12" s="77" t="s">
        <v>270</v>
      </c>
      <c r="B12" s="77" t="s">
        <v>131</v>
      </c>
      <c r="C12" s="3"/>
      <c r="D12" s="3"/>
      <c r="E12" s="3"/>
      <c r="F12" s="3"/>
      <c r="G12" s="3"/>
      <c r="H12" s="3"/>
      <c r="I12" s="3"/>
      <c r="J12" s="3"/>
      <c r="K12" s="3"/>
      <c r="L12" s="3"/>
    </row>
    <row r="13" ht="34" spans="1:12">
      <c r="A13" s="3" t="s">
        <v>271</v>
      </c>
      <c r="B13" s="14">
        <f>'Combined TOU Profile'!R17</f>
        <v>286732.11</v>
      </c>
      <c r="C13" s="3"/>
      <c r="D13" s="3"/>
      <c r="E13" s="3"/>
      <c r="F13" s="3"/>
      <c r="G13" s="3"/>
      <c r="H13" s="3"/>
      <c r="I13" s="3"/>
      <c r="J13" s="3"/>
      <c r="K13" s="3"/>
      <c r="L13" s="3"/>
    </row>
    <row r="14" ht="34" spans="1:12">
      <c r="A14" s="3" t="s">
        <v>272</v>
      </c>
      <c r="B14" s="14">
        <f>'Combined TOU Profile'!P17</f>
        <v>65519.8046390649</v>
      </c>
      <c r="C14" s="3"/>
      <c r="D14" s="3"/>
      <c r="E14" s="3"/>
      <c r="F14" s="3"/>
      <c r="G14" s="3"/>
      <c r="H14" s="3"/>
      <c r="I14" s="3"/>
      <c r="J14" s="3"/>
      <c r="K14" s="3"/>
      <c r="L14" s="3"/>
    </row>
    <row r="15" ht="34" spans="1:12">
      <c r="A15" s="3" t="s">
        <v>273</v>
      </c>
      <c r="B15" s="14">
        <f>'Combined TOU Profile'!Q17</f>
        <v>193627.17</v>
      </c>
      <c r="C15" s="3"/>
      <c r="D15" s="3"/>
      <c r="E15" s="3"/>
      <c r="F15" s="3"/>
      <c r="G15" s="3"/>
      <c r="H15" s="3"/>
      <c r="I15" s="3"/>
      <c r="J15" s="3"/>
      <c r="K15" s="3"/>
      <c r="L15" s="3"/>
    </row>
    <row r="16" ht="34" spans="1:12">
      <c r="A16" s="3" t="s">
        <v>274</v>
      </c>
      <c r="B16" s="14">
        <f>'Combined TOU Profile'!S17</f>
        <v>27585.1353609351</v>
      </c>
      <c r="C16" s="3"/>
      <c r="D16" s="3"/>
      <c r="E16" s="3"/>
      <c r="F16" s="3"/>
      <c r="G16" s="3"/>
      <c r="H16" s="3"/>
      <c r="I16" s="3"/>
      <c r="J16" s="3"/>
      <c r="K16" s="3"/>
      <c r="L16" s="3"/>
    </row>
    <row r="17" ht="34" spans="1:12">
      <c r="A17" s="3" t="s">
        <v>275</v>
      </c>
      <c r="B17" s="78">
        <f>B14/'Combined TOU Profile'!F17</f>
        <v>0.0923463175373466</v>
      </c>
      <c r="C17" s="3"/>
      <c r="D17" s="3"/>
      <c r="E17" s="3"/>
      <c r="F17" s="3"/>
      <c r="G17" s="3"/>
      <c r="H17" s="3"/>
      <c r="I17" s="3"/>
      <c r="J17" s="3"/>
      <c r="K17" s="3"/>
      <c r="L17" s="3"/>
    </row>
  </sheetData>
  <mergeCells count="2">
    <mergeCell ref="A1:L1"/>
    <mergeCell ref="A2:L2"/>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
  <sheetViews>
    <sheetView zoomScale="158" zoomScaleNormal="158" topLeftCell="A6" workbookViewId="0">
      <selection activeCell="A24" sqref="A24"/>
    </sheetView>
  </sheetViews>
  <sheetFormatPr defaultColWidth="9" defaultRowHeight="16.8" outlineLevelCol="7"/>
  <cols>
    <col min="1" max="1" width="34" customWidth="1"/>
    <col min="2" max="2" width="26" customWidth="1"/>
  </cols>
  <sheetData>
    <row r="1" ht="23.2" spans="1:8">
      <c r="A1" s="62" t="s">
        <v>276</v>
      </c>
      <c r="B1" s="62"/>
      <c r="C1" s="62"/>
      <c r="D1" s="62"/>
      <c r="E1" s="62"/>
      <c r="F1" s="62"/>
      <c r="G1" s="62"/>
      <c r="H1" s="62"/>
    </row>
    <row r="3" spans="1:2">
      <c r="A3" s="63" t="s">
        <v>270</v>
      </c>
      <c r="B3" s="64" t="s">
        <v>277</v>
      </c>
    </row>
    <row r="4" spans="1:2">
      <c r="A4" s="65" t="s">
        <v>278</v>
      </c>
      <c r="B4" s="66" t="str">
        <f>INDEX(Scenarios!A4:A8,MATCH("PASS",Scenarios!P4:P8,0))</f>
        <v>Minimum</v>
      </c>
    </row>
    <row r="5" spans="1:2">
      <c r="A5" s="65" t="s">
        <v>279</v>
      </c>
      <c r="B5" s="67">
        <f>INDEX(Scenarios!B4:B8,MATCH("PASS",Scenarios!P4:P8,0))</f>
        <v>838</v>
      </c>
    </row>
    <row r="6" spans="1:2">
      <c r="A6" s="65" t="s">
        <v>280</v>
      </c>
      <c r="B6" s="67">
        <f>INDEX(Scenarios!C4:C8,MATCH("PASS",Scenarios!P4:P8,0))</f>
        <v>406.43</v>
      </c>
    </row>
    <row r="7" spans="1:2">
      <c r="A7" s="65" t="s">
        <v>281</v>
      </c>
      <c r="B7" s="67">
        <f>INDEX(Scenarios!D4:D8,MATCH("PASS",Scenarios!P4:P8,0))</f>
        <v>710207.514</v>
      </c>
    </row>
    <row r="8" spans="1:2">
      <c r="A8" s="65" t="s">
        <v>282</v>
      </c>
      <c r="B8" s="68">
        <f>INDEX(Scenarios!E4:E8,MATCH("PASS",Scenarios!P4:P8,0))</f>
        <v>1.00099578999889</v>
      </c>
    </row>
    <row r="9" spans="1:2">
      <c r="A9" s="65" t="s">
        <v>283</v>
      </c>
      <c r="B9" s="67">
        <f>INDEX(Scenarios!F4:F8,MATCH("PASS",Scenarios!P4:P8,0))</f>
        <v>2</v>
      </c>
    </row>
    <row r="10" spans="1:2">
      <c r="A10" s="65" t="s">
        <v>284</v>
      </c>
      <c r="B10" s="67">
        <f>INDEX(Scenarios!G4:G8,MATCH("PASS",Scenarios!P4:P8,0))</f>
        <v>430.08</v>
      </c>
    </row>
    <row r="11" spans="1:2">
      <c r="A11" s="69" t="s">
        <v>285</v>
      </c>
      <c r="B11" s="70">
        <f>INDEX(Scenarios!H4:H8,MATCH("PASS",Scenarios!P4:P8,0))</f>
        <v>215.04</v>
      </c>
    </row>
    <row r="13" spans="1:8">
      <c r="A13" s="71" t="s">
        <v>286</v>
      </c>
      <c r="B13" s="71"/>
      <c r="C13" s="71"/>
      <c r="D13" s="71"/>
      <c r="E13" s="71"/>
      <c r="F13" s="71"/>
      <c r="G13" s="71"/>
      <c r="H13" s="71"/>
    </row>
    <row r="14" spans="1:8">
      <c r="A14" s="23" t="s">
        <v>287</v>
      </c>
      <c r="B14" s="23"/>
      <c r="C14" s="23"/>
      <c r="D14" s="23"/>
      <c r="E14" s="23"/>
      <c r="F14" s="23"/>
      <c r="G14" s="23"/>
      <c r="H14" s="23"/>
    </row>
    <row r="15" spans="1:8">
      <c r="A15" s="23"/>
      <c r="B15" s="23"/>
      <c r="C15" s="23"/>
      <c r="D15" s="23"/>
      <c r="E15" s="23"/>
      <c r="F15" s="23"/>
      <c r="G15" s="23"/>
      <c r="H15" s="23"/>
    </row>
    <row r="16" spans="1:8">
      <c r="A16" s="23"/>
      <c r="B16" s="23"/>
      <c r="C16" s="23"/>
      <c r="D16" s="23"/>
      <c r="E16" s="23"/>
      <c r="F16" s="23"/>
      <c r="G16" s="23"/>
      <c r="H16" s="23"/>
    </row>
    <row r="17" spans="1:8">
      <c r="A17" s="23"/>
      <c r="B17" s="23"/>
      <c r="C17" s="23"/>
      <c r="D17" s="23"/>
      <c r="E17" s="23"/>
      <c r="F17" s="23"/>
      <c r="G17" s="23"/>
      <c r="H17" s="23"/>
    </row>
    <row r="18" spans="1:8">
      <c r="A18" s="23"/>
      <c r="B18" s="23"/>
      <c r="C18" s="23"/>
      <c r="D18" s="23"/>
      <c r="E18" s="23"/>
      <c r="F18" s="23"/>
      <c r="G18" s="23"/>
      <c r="H18" s="23"/>
    </row>
    <row r="19" spans="1:8">
      <c r="A19" s="3"/>
      <c r="B19" s="3"/>
      <c r="C19" s="3"/>
      <c r="D19" s="3"/>
      <c r="E19" s="3"/>
      <c r="F19" s="3"/>
      <c r="G19" s="3"/>
      <c r="H19" s="3"/>
    </row>
    <row r="20" spans="1:8">
      <c r="A20" s="3"/>
      <c r="B20" s="3"/>
      <c r="C20" s="3"/>
      <c r="D20" s="3"/>
      <c r="E20" s="3"/>
      <c r="F20" s="3"/>
      <c r="G20" s="3"/>
      <c r="H20" s="3"/>
    </row>
  </sheetData>
  <mergeCells count="4">
    <mergeCell ref="A1:H1"/>
    <mergeCell ref="A13:H13"/>
    <mergeCell ref="A14:H18"/>
    <mergeCell ref="A19:H20"/>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8"/>
  <sheetViews>
    <sheetView zoomScale="166" zoomScaleNormal="166" workbookViewId="0">
      <selection activeCell="D29" sqref="D29"/>
    </sheetView>
  </sheetViews>
  <sheetFormatPr defaultColWidth="9" defaultRowHeight="16.8" outlineLevelCol="4"/>
  <cols>
    <col min="1" max="2" width="34" customWidth="1"/>
    <col min="3" max="3" width="28" customWidth="1"/>
    <col min="4" max="4" width="58" customWidth="1"/>
    <col min="5" max="5" width="52" customWidth="1"/>
  </cols>
  <sheetData>
    <row r="1" ht="23.2" spans="1:5">
      <c r="A1" s="2" t="s">
        <v>288</v>
      </c>
      <c r="B1" s="2"/>
      <c r="C1" s="2"/>
      <c r="D1" s="2"/>
      <c r="E1" s="2"/>
    </row>
    <row r="2" spans="1:5">
      <c r="A2" s="3"/>
      <c r="B2" s="3"/>
      <c r="C2" s="3"/>
      <c r="D2" s="3"/>
      <c r="E2" s="3"/>
    </row>
    <row r="3" ht="17" spans="1:5">
      <c r="A3" s="53" t="s">
        <v>29</v>
      </c>
      <c r="B3" s="54" t="s">
        <v>289</v>
      </c>
      <c r="C3" s="54" t="s">
        <v>133</v>
      </c>
      <c r="D3" s="54" t="s">
        <v>290</v>
      </c>
      <c r="E3" s="59" t="s">
        <v>291</v>
      </c>
    </row>
    <row r="4" ht="17" spans="1:5">
      <c r="A4" s="55" t="s">
        <v>85</v>
      </c>
      <c r="B4" s="56" t="s">
        <v>292</v>
      </c>
      <c r="C4" s="56" t="s">
        <v>293</v>
      </c>
      <c r="D4" s="56" t="s">
        <v>294</v>
      </c>
      <c r="E4" s="60" t="s">
        <v>295</v>
      </c>
    </row>
    <row r="5" ht="17" spans="1:5">
      <c r="A5" s="55" t="s">
        <v>296</v>
      </c>
      <c r="B5" s="56" t="s">
        <v>297</v>
      </c>
      <c r="C5" s="56" t="s">
        <v>298</v>
      </c>
      <c r="D5" s="56" t="s">
        <v>299</v>
      </c>
      <c r="E5" s="60" t="s">
        <v>300</v>
      </c>
    </row>
    <row r="6" ht="34" spans="1:5">
      <c r="A6" s="57" t="s">
        <v>301</v>
      </c>
      <c r="B6" s="58" t="s">
        <v>302</v>
      </c>
      <c r="C6" s="58" t="s">
        <v>303</v>
      </c>
      <c r="D6" s="58" t="s">
        <v>304</v>
      </c>
      <c r="E6" s="61" t="s">
        <v>305</v>
      </c>
    </row>
    <row r="18" ht="17" spans="1:4">
      <c r="A18" s="18" t="s">
        <v>306</v>
      </c>
      <c r="B18" s="18" t="s">
        <v>307</v>
      </c>
      <c r="C18" s="18" t="s">
        <v>308</v>
      </c>
      <c r="D18" s="18" t="s">
        <v>133</v>
      </c>
    </row>
    <row r="19" ht="51" spans="1:4">
      <c r="A19" s="3" t="s">
        <v>309</v>
      </c>
      <c r="B19" s="3" t="s">
        <v>310</v>
      </c>
      <c r="C19" s="3" t="s">
        <v>311</v>
      </c>
      <c r="D19" s="3" t="s">
        <v>312</v>
      </c>
    </row>
    <row r="20" ht="51" spans="1:4">
      <c r="A20" s="3" t="s">
        <v>313</v>
      </c>
      <c r="B20" s="3" t="s">
        <v>314</v>
      </c>
      <c r="C20" s="3" t="s">
        <v>311</v>
      </c>
      <c r="D20" s="3" t="s">
        <v>312</v>
      </c>
    </row>
    <row r="21" ht="51" spans="1:4">
      <c r="A21" s="3" t="s">
        <v>315</v>
      </c>
      <c r="B21" s="3" t="s">
        <v>316</v>
      </c>
      <c r="C21" s="3" t="s">
        <v>317</v>
      </c>
      <c r="D21" s="3" t="s">
        <v>318</v>
      </c>
    </row>
    <row r="22" ht="34" spans="1:4">
      <c r="A22" s="3" t="s">
        <v>319</v>
      </c>
      <c r="B22" s="3" t="s">
        <v>320</v>
      </c>
      <c r="C22" s="3" t="s">
        <v>321</v>
      </c>
      <c r="D22" s="3" t="s">
        <v>322</v>
      </c>
    </row>
    <row r="24" ht="17" spans="1:4">
      <c r="A24" s="18" t="s">
        <v>323</v>
      </c>
      <c r="B24" s="18" t="s">
        <v>29</v>
      </c>
      <c r="C24" s="18" t="s">
        <v>308</v>
      </c>
      <c r="D24" s="18" t="s">
        <v>133</v>
      </c>
    </row>
    <row r="25" ht="34" spans="1:4">
      <c r="A25" s="3" t="s">
        <v>324</v>
      </c>
      <c r="B25" s="3" t="s">
        <v>325</v>
      </c>
      <c r="C25" s="3" t="s">
        <v>326</v>
      </c>
      <c r="D25" s="3" t="s">
        <v>327</v>
      </c>
    </row>
    <row r="26" ht="34" spans="1:4">
      <c r="A26" s="3" t="s">
        <v>328</v>
      </c>
      <c r="B26" s="3" t="s">
        <v>329</v>
      </c>
      <c r="C26" s="3" t="s">
        <v>326</v>
      </c>
      <c r="D26" s="3" t="s">
        <v>327</v>
      </c>
    </row>
    <row r="27" ht="68" spans="1:4">
      <c r="A27" s="3" t="s">
        <v>330</v>
      </c>
      <c r="B27" s="3" t="s">
        <v>331</v>
      </c>
      <c r="C27" s="3" t="s">
        <v>332</v>
      </c>
      <c r="D27" s="3" t="s">
        <v>333</v>
      </c>
    </row>
    <row r="28" ht="68" spans="1:4">
      <c r="A28" s="3" t="s">
        <v>334</v>
      </c>
      <c r="B28" s="3" t="s">
        <v>335</v>
      </c>
      <c r="C28" s="3" t="s">
        <v>336</v>
      </c>
      <c r="D28" s="3" t="s">
        <v>337</v>
      </c>
    </row>
  </sheetData>
  <mergeCells count="1">
    <mergeCell ref="A1:E1"/>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0"/>
  <sheetViews>
    <sheetView workbookViewId="0">
      <selection activeCell="B17" sqref="B17"/>
    </sheetView>
  </sheetViews>
  <sheetFormatPr defaultColWidth="9" defaultRowHeight="16.8"/>
  <cols>
    <col min="1" max="1" width="42" customWidth="1"/>
    <col min="2" max="2" width="24" customWidth="1"/>
    <col min="3" max="3" width="34" customWidth="1"/>
    <col min="4" max="4" width="20" customWidth="1"/>
    <col min="5" max="5" width="22" customWidth="1"/>
    <col min="6" max="14" width="16" customWidth="1"/>
  </cols>
  <sheetData>
    <row r="1" ht="22" spans="1:26">
      <c r="A1" s="19" t="s">
        <v>338</v>
      </c>
      <c r="B1" s="19"/>
      <c r="C1" s="19"/>
      <c r="D1" s="19"/>
      <c r="E1" s="19"/>
      <c r="F1" s="19"/>
      <c r="G1" s="19"/>
      <c r="H1" s="19"/>
      <c r="I1" s="3"/>
      <c r="J1" s="3"/>
      <c r="K1" s="3"/>
      <c r="L1" s="3"/>
      <c r="M1" s="3"/>
      <c r="N1" s="3"/>
      <c r="O1" s="3"/>
      <c r="P1" s="3"/>
      <c r="Q1" s="3"/>
      <c r="R1" s="3"/>
      <c r="S1" s="3"/>
      <c r="T1" s="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ht="17" spans="1:26">
      <c r="A3" s="18" t="s">
        <v>339</v>
      </c>
      <c r="B3" s="18" t="s">
        <v>340</v>
      </c>
      <c r="C3" s="18"/>
      <c r="D3" s="4"/>
      <c r="E3" s="4"/>
      <c r="F3" s="3"/>
      <c r="G3" s="3"/>
      <c r="H3" s="3"/>
      <c r="I3" s="3"/>
      <c r="J3" s="3"/>
      <c r="K3" s="3"/>
      <c r="L3" s="3"/>
      <c r="M3" s="3"/>
      <c r="N3" s="3"/>
      <c r="O3" s="3"/>
      <c r="P3" s="3"/>
      <c r="Q3" s="3"/>
      <c r="R3" s="3"/>
      <c r="S3" s="3"/>
      <c r="T3" s="3"/>
      <c r="U3" s="3"/>
      <c r="V3" s="3"/>
      <c r="W3" s="3"/>
      <c r="X3" s="3"/>
      <c r="Y3" s="3"/>
      <c r="Z3" s="3"/>
    </row>
    <row r="4" ht="17" spans="1:26">
      <c r="A4" s="3" t="s">
        <v>341</v>
      </c>
      <c r="B4" s="12">
        <f>'6Detailed Cash Flow'!B42</f>
        <v>0.21518282780096</v>
      </c>
      <c r="C4" s="3"/>
      <c r="D4" s="3"/>
      <c r="E4" s="14"/>
      <c r="F4" s="3"/>
      <c r="G4" s="3"/>
      <c r="H4" s="3"/>
      <c r="I4" s="3"/>
      <c r="J4" s="3"/>
      <c r="K4" s="3"/>
      <c r="L4" s="3"/>
      <c r="M4" s="3"/>
      <c r="N4" s="3"/>
      <c r="O4" s="3"/>
      <c r="P4" s="3"/>
      <c r="Q4" s="3"/>
      <c r="R4" s="3"/>
      <c r="S4" s="3"/>
      <c r="T4" s="3"/>
      <c r="U4" s="3"/>
      <c r="V4" s="3"/>
      <c r="W4" s="3"/>
      <c r="X4" s="3"/>
      <c r="Y4" s="3"/>
      <c r="Z4" s="3"/>
    </row>
    <row r="5" ht="17" spans="1:26">
      <c r="A5" s="3" t="s">
        <v>342</v>
      </c>
      <c r="B5" s="3">
        <f>'1PV Proposal'!E8/('PV Production'!G17*(1-(1-'Model Assumptions'!C22)^30)/'Model Assumptions'!C22)</f>
        <v>0.0156855547837906</v>
      </c>
      <c r="C5" s="3"/>
      <c r="D5" s="3"/>
      <c r="E5" s="14"/>
      <c r="F5" s="3"/>
      <c r="G5" s="3"/>
      <c r="H5" s="3"/>
      <c r="I5" s="3"/>
      <c r="J5" s="3"/>
      <c r="K5" s="3"/>
      <c r="L5" s="3"/>
      <c r="M5" s="3"/>
      <c r="N5" s="3"/>
      <c r="O5" s="3"/>
      <c r="P5" s="3"/>
      <c r="Q5" s="3"/>
      <c r="R5" s="3"/>
      <c r="S5" s="3"/>
      <c r="T5" s="3"/>
      <c r="U5" s="3"/>
      <c r="V5" s="3"/>
      <c r="W5" s="3"/>
      <c r="X5" s="3"/>
      <c r="Y5" s="3"/>
      <c r="Z5" s="3"/>
    </row>
    <row r="6" ht="17" spans="1:26">
      <c r="A6" s="3" t="s">
        <v>343</v>
      </c>
      <c r="B6" s="14">
        <f>'6Detailed Cash Flow'!B41</f>
        <v>1757719.3099355</v>
      </c>
      <c r="C6" s="3"/>
      <c r="D6" s="3"/>
      <c r="E6" s="14"/>
      <c r="F6" s="3"/>
      <c r="G6" s="3"/>
      <c r="H6" s="3"/>
      <c r="I6" s="3"/>
      <c r="J6" s="3"/>
      <c r="K6" s="3"/>
      <c r="L6" s="3"/>
      <c r="M6" s="3"/>
      <c r="N6" s="3"/>
      <c r="O6" s="3"/>
      <c r="P6" s="3"/>
      <c r="Q6" s="3"/>
      <c r="R6" s="3"/>
      <c r="S6" s="3"/>
      <c r="T6" s="3"/>
      <c r="U6" s="3"/>
      <c r="V6" s="3"/>
      <c r="W6" s="3"/>
      <c r="X6" s="3"/>
      <c r="Y6" s="3"/>
      <c r="Z6" s="3"/>
    </row>
    <row r="7" ht="17" spans="1:26">
      <c r="A7" s="3" t="s">
        <v>344</v>
      </c>
      <c r="B7" s="51">
        <f>'6Detailed Cash Flow'!B43</f>
        <v>3.88764539094544</v>
      </c>
      <c r="C7" s="3"/>
      <c r="D7" s="3"/>
      <c r="E7" s="14"/>
      <c r="F7" s="3"/>
      <c r="G7" s="3"/>
      <c r="H7" s="3"/>
      <c r="I7" s="3"/>
      <c r="J7" s="3"/>
      <c r="K7" s="3"/>
      <c r="L7" s="3"/>
      <c r="M7" s="3"/>
      <c r="N7" s="3"/>
      <c r="O7" s="3"/>
      <c r="P7" s="3"/>
      <c r="Q7" s="3"/>
      <c r="R7" s="3"/>
      <c r="S7" s="3"/>
      <c r="T7" s="3"/>
      <c r="U7" s="3"/>
      <c r="V7" s="3"/>
      <c r="W7" s="3"/>
      <c r="X7" s="3"/>
      <c r="Y7" s="3"/>
      <c r="Z7" s="3"/>
    </row>
    <row r="8" ht="17" spans="1:26">
      <c r="A8" s="3" t="s">
        <v>345</v>
      </c>
      <c r="B8" s="14">
        <f>'6Detailed Cash Flow'!B38</f>
        <v>1074972.3</v>
      </c>
      <c r="C8" s="3"/>
      <c r="D8" s="3"/>
      <c r="E8" s="14"/>
      <c r="F8" s="3"/>
      <c r="G8" s="3"/>
      <c r="H8" s="3"/>
      <c r="I8" s="3"/>
      <c r="J8" s="3"/>
      <c r="K8" s="3"/>
      <c r="L8" s="3"/>
      <c r="M8" s="3"/>
      <c r="N8" s="3"/>
      <c r="O8" s="3"/>
      <c r="P8" s="3"/>
      <c r="Q8" s="3"/>
      <c r="R8" s="3"/>
      <c r="S8" s="3"/>
      <c r="T8" s="3"/>
      <c r="U8" s="3"/>
      <c r="V8" s="3"/>
      <c r="W8" s="3"/>
      <c r="X8" s="3"/>
      <c r="Y8" s="3"/>
      <c r="Z8" s="3"/>
    </row>
    <row r="9" ht="17" spans="1:26">
      <c r="A9" s="3" t="s">
        <v>346</v>
      </c>
      <c r="B9" s="14">
        <f>'3Rebates Incentives'!H19</f>
        <v>682607.4105</v>
      </c>
      <c r="C9" s="3"/>
      <c r="D9" s="3"/>
      <c r="E9" s="14"/>
      <c r="F9" s="3"/>
      <c r="G9" s="3"/>
      <c r="H9" s="3"/>
      <c r="I9" s="3"/>
      <c r="J9" s="3"/>
      <c r="K9" s="3"/>
      <c r="L9" s="3"/>
      <c r="M9" s="3"/>
      <c r="N9" s="3"/>
      <c r="O9" s="3"/>
      <c r="P9" s="3"/>
      <c r="Q9" s="3"/>
      <c r="R9" s="3"/>
      <c r="S9" s="3"/>
      <c r="T9" s="3"/>
      <c r="U9" s="3"/>
      <c r="V9" s="3"/>
      <c r="W9" s="3"/>
      <c r="X9" s="3"/>
      <c r="Y9" s="3"/>
      <c r="Z9" s="3"/>
    </row>
    <row r="10" ht="17" spans="1:26">
      <c r="A10" s="3" t="s">
        <v>347</v>
      </c>
      <c r="B10" s="14">
        <f>B8-B9</f>
        <v>392364.8895</v>
      </c>
      <c r="C10" s="3"/>
      <c r="D10" s="3"/>
      <c r="E10" s="12"/>
      <c r="F10" s="3"/>
      <c r="G10" s="3"/>
      <c r="H10" s="3"/>
      <c r="I10" s="3"/>
      <c r="J10" s="3"/>
      <c r="K10" s="3"/>
      <c r="L10" s="3"/>
      <c r="M10" s="3"/>
      <c r="N10" s="3"/>
      <c r="O10" s="3"/>
      <c r="P10" s="3"/>
      <c r="Q10" s="3"/>
      <c r="R10" s="3"/>
      <c r="S10" s="3"/>
      <c r="T10" s="3"/>
      <c r="U10" s="3"/>
      <c r="V10" s="3"/>
      <c r="W10" s="3"/>
      <c r="X10" s="3"/>
      <c r="Y10" s="3"/>
      <c r="Z10" s="3"/>
    </row>
    <row r="11" ht="17" spans="1:26">
      <c r="A11" s="3" t="s">
        <v>348</v>
      </c>
      <c r="B11" s="14">
        <f>'6Detailed Cash Flow'!B40</f>
        <v>4694064.00207188</v>
      </c>
      <c r="C11" s="3"/>
      <c r="D11" s="3"/>
      <c r="E11" s="14"/>
      <c r="F11" s="3"/>
      <c r="G11" s="3"/>
      <c r="H11" s="3"/>
      <c r="I11" s="3"/>
      <c r="J11" s="3"/>
      <c r="K11" s="3"/>
      <c r="L11" s="3"/>
      <c r="M11" s="3"/>
      <c r="N11" s="3"/>
      <c r="O11" s="3"/>
      <c r="P11" s="3"/>
      <c r="Q11" s="3"/>
      <c r="R11" s="3"/>
      <c r="S11" s="3"/>
      <c r="T11" s="3"/>
      <c r="U11" s="3"/>
      <c r="V11" s="3"/>
      <c r="W11" s="3"/>
      <c r="X11" s="3"/>
      <c r="Y11" s="3"/>
      <c r="Z11" s="3"/>
    </row>
    <row r="12" ht="17" spans="1:26">
      <c r="A12" s="3" t="s">
        <v>349</v>
      </c>
      <c r="B12" s="14">
        <f>'6Detailed Cash Flow'!B38</f>
        <v>1074972.3</v>
      </c>
      <c r="C12" s="3"/>
      <c r="D12" s="3"/>
      <c r="E12" s="21"/>
      <c r="F12" s="3"/>
      <c r="G12" s="3"/>
      <c r="H12" s="3"/>
      <c r="I12" s="3"/>
      <c r="J12" s="3"/>
      <c r="K12" s="3"/>
      <c r="L12" s="3"/>
      <c r="M12" s="3"/>
      <c r="N12" s="3"/>
      <c r="O12" s="3"/>
      <c r="P12" s="3"/>
      <c r="Q12" s="3"/>
      <c r="R12" s="3"/>
      <c r="S12" s="3"/>
      <c r="T12" s="3"/>
      <c r="U12" s="3"/>
      <c r="V12" s="3"/>
      <c r="W12" s="3"/>
      <c r="X12" s="3"/>
      <c r="Y12" s="3"/>
      <c r="Z12" s="3"/>
    </row>
    <row r="13" ht="17" spans="1:26">
      <c r="A13" s="3" t="s">
        <v>350</v>
      </c>
      <c r="B13" s="14">
        <f>'4Electric Bills'!AA16</f>
        <v>106305.624984984</v>
      </c>
      <c r="C13" s="3"/>
      <c r="D13" s="3"/>
      <c r="E13" s="21"/>
      <c r="F13" s="3"/>
      <c r="G13" s="3"/>
      <c r="H13" s="3"/>
      <c r="I13" s="3"/>
      <c r="J13" s="3"/>
      <c r="K13" s="3"/>
      <c r="L13" s="3"/>
      <c r="M13" s="3"/>
      <c r="N13" s="3"/>
      <c r="O13" s="3"/>
      <c r="P13" s="3"/>
      <c r="Q13" s="3"/>
      <c r="R13" s="3"/>
      <c r="S13" s="3"/>
      <c r="T13" s="3"/>
      <c r="U13" s="3"/>
      <c r="V13" s="3"/>
      <c r="W13" s="3"/>
      <c r="X13" s="3"/>
      <c r="Y13" s="3"/>
      <c r="Z13" s="3"/>
    </row>
    <row r="14" spans="1:26">
      <c r="A14" s="3"/>
      <c r="B14" s="3"/>
      <c r="C14" s="3"/>
      <c r="D14" s="3"/>
      <c r="E14" s="3"/>
      <c r="F14" s="3"/>
      <c r="G14" s="3"/>
      <c r="H14" s="3"/>
      <c r="I14" s="3"/>
      <c r="J14" s="3"/>
      <c r="K14" s="3"/>
      <c r="L14" s="3"/>
      <c r="M14" s="3"/>
      <c r="N14" s="3"/>
      <c r="O14" s="3"/>
      <c r="P14" s="3"/>
      <c r="Q14" s="3"/>
      <c r="R14" s="3"/>
      <c r="S14" s="3"/>
      <c r="T14" s="3"/>
      <c r="U14" s="3"/>
      <c r="V14" s="3"/>
      <c r="W14" s="3"/>
      <c r="X14" s="3"/>
      <c r="Y14" s="3"/>
      <c r="Z14" s="3"/>
    </row>
    <row r="15" ht="17" spans="1:26">
      <c r="A15" s="18" t="s">
        <v>351</v>
      </c>
      <c r="B15" s="18" t="s">
        <v>131</v>
      </c>
      <c r="C15" s="18" t="s">
        <v>352</v>
      </c>
      <c r="D15" s="18" t="s">
        <v>131</v>
      </c>
      <c r="E15" s="3"/>
      <c r="F15" s="3"/>
      <c r="G15" s="3"/>
      <c r="H15" s="3"/>
      <c r="I15" s="3"/>
      <c r="J15" s="3"/>
      <c r="K15" s="3"/>
      <c r="L15" s="3"/>
      <c r="M15" s="3"/>
      <c r="N15" s="3"/>
      <c r="O15" s="3"/>
      <c r="P15" s="3"/>
      <c r="Q15" s="3"/>
      <c r="R15" s="3"/>
      <c r="S15" s="3"/>
      <c r="T15" s="3"/>
      <c r="U15" s="3"/>
      <c r="V15" s="3"/>
      <c r="W15" s="3"/>
      <c r="X15" s="3"/>
      <c r="Y15" s="3"/>
      <c r="Z15" s="3"/>
    </row>
    <row r="16" ht="17" spans="1:26">
      <c r="A16" s="3" t="s">
        <v>353</v>
      </c>
      <c r="B16" s="3">
        <f>'1PV Proposal'!B8</f>
        <v>406.43</v>
      </c>
      <c r="C16" s="3" t="s">
        <v>354</v>
      </c>
      <c r="D16" s="3">
        <v>430.08</v>
      </c>
      <c r="E16" s="3"/>
      <c r="F16" s="3"/>
      <c r="G16" s="3"/>
      <c r="H16" s="3"/>
      <c r="I16" s="3"/>
      <c r="J16" s="3"/>
      <c r="K16" s="3"/>
      <c r="L16" s="3"/>
      <c r="M16" s="3"/>
      <c r="N16" s="3"/>
      <c r="O16" s="3"/>
      <c r="P16" s="3"/>
      <c r="Q16" s="3"/>
      <c r="R16" s="3"/>
      <c r="S16" s="3"/>
      <c r="T16" s="3"/>
      <c r="U16" s="3"/>
      <c r="V16" s="3"/>
      <c r="W16" s="3"/>
      <c r="X16" s="3"/>
      <c r="Y16" s="3"/>
      <c r="Z16" s="3"/>
    </row>
    <row r="17" ht="17" spans="1:26">
      <c r="A17" s="3" t="s">
        <v>355</v>
      </c>
      <c r="B17" s="3">
        <f>'1PV Proposal'!B9</f>
        <v>710207.514</v>
      </c>
      <c r="C17" s="3" t="s">
        <v>356</v>
      </c>
      <c r="D17" s="3">
        <v>200</v>
      </c>
      <c r="E17" s="3"/>
      <c r="F17" s="3"/>
      <c r="G17" s="3"/>
      <c r="H17" s="3"/>
      <c r="I17" s="3"/>
      <c r="J17" s="3"/>
      <c r="K17" s="3"/>
      <c r="L17" s="3"/>
      <c r="M17" s="3"/>
      <c r="N17" s="3"/>
      <c r="O17" s="3"/>
      <c r="P17" s="3"/>
      <c r="Q17" s="3"/>
      <c r="R17" s="3"/>
      <c r="S17" s="3"/>
      <c r="T17" s="3"/>
      <c r="U17" s="3"/>
      <c r="V17" s="3"/>
      <c r="W17" s="3"/>
      <c r="X17" s="3"/>
      <c r="Y17" s="3"/>
      <c r="Z17" s="3"/>
    </row>
    <row r="18" ht="17" spans="1:26">
      <c r="A18" s="3" t="s">
        <v>357</v>
      </c>
      <c r="B18" s="3" t="s">
        <v>358</v>
      </c>
      <c r="C18" s="3" t="s">
        <v>359</v>
      </c>
      <c r="D18" s="3">
        <v>100</v>
      </c>
      <c r="E18" s="3"/>
      <c r="F18" s="3"/>
      <c r="G18" s="3"/>
      <c r="H18" s="3"/>
      <c r="I18" s="3"/>
      <c r="J18" s="3"/>
      <c r="K18" s="3"/>
      <c r="L18" s="3"/>
      <c r="M18" s="3"/>
      <c r="N18" s="3"/>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52" t="s">
        <v>360</v>
      </c>
      <c r="B31" s="52"/>
      <c r="C31" s="52"/>
      <c r="D31" s="52"/>
      <c r="E31" s="52"/>
      <c r="F31" s="52"/>
      <c r="G31" s="52"/>
      <c r="H31" s="52"/>
      <c r="I31" s="52"/>
      <c r="J31" s="52"/>
      <c r="K31" s="52"/>
      <c r="L31" s="52"/>
      <c r="M31" s="3"/>
      <c r="N31" s="3"/>
      <c r="O31" s="3"/>
      <c r="P31" s="3"/>
      <c r="Q31" s="3"/>
      <c r="R31" s="3"/>
      <c r="S31" s="3"/>
      <c r="T31" s="3"/>
      <c r="U31" s="3"/>
      <c r="V31" s="3"/>
      <c r="W31" s="3"/>
      <c r="X31" s="3"/>
      <c r="Y31" s="3"/>
      <c r="Z31" s="3"/>
    </row>
    <row r="32" spans="1:26">
      <c r="A32" s="52"/>
      <c r="B32" s="52"/>
      <c r="C32" s="52"/>
      <c r="D32" s="52"/>
      <c r="E32" s="52"/>
      <c r="F32" s="52"/>
      <c r="G32" s="52"/>
      <c r="H32" s="52"/>
      <c r="I32" s="52"/>
      <c r="J32" s="52"/>
      <c r="K32" s="52"/>
      <c r="L32" s="52"/>
      <c r="M32" s="3"/>
      <c r="N32" s="3"/>
      <c r="O32" s="3"/>
      <c r="P32" s="3"/>
      <c r="Q32" s="3"/>
      <c r="R32" s="3"/>
      <c r="S32" s="3"/>
      <c r="T32" s="3"/>
      <c r="U32" s="3"/>
      <c r="V32" s="3"/>
      <c r="W32" s="3"/>
      <c r="X32" s="3"/>
      <c r="Y32" s="3"/>
      <c r="Z32" s="3"/>
    </row>
    <row r="33" spans="1:26">
      <c r="A33" s="52"/>
      <c r="B33" s="52"/>
      <c r="C33" s="52"/>
      <c r="D33" s="52"/>
      <c r="E33" s="52"/>
      <c r="F33" s="52"/>
      <c r="G33" s="52"/>
      <c r="H33" s="52"/>
      <c r="I33" s="52"/>
      <c r="J33" s="52"/>
      <c r="K33" s="52"/>
      <c r="L33" s="52"/>
      <c r="M33" s="3"/>
      <c r="N33" s="3"/>
      <c r="O33" s="3"/>
      <c r="P33" s="3"/>
      <c r="Q33" s="3"/>
      <c r="R33" s="3"/>
      <c r="S33" s="3"/>
      <c r="T33" s="3"/>
      <c r="U33" s="3"/>
      <c r="V33" s="3"/>
      <c r="W33" s="3"/>
      <c r="X33" s="3"/>
      <c r="Y33" s="3"/>
      <c r="Z33" s="3"/>
    </row>
    <row r="34" spans="1:26">
      <c r="A34" s="52"/>
      <c r="B34" s="52"/>
      <c r="C34" s="52"/>
      <c r="D34" s="52"/>
      <c r="E34" s="52"/>
      <c r="F34" s="52"/>
      <c r="G34" s="52"/>
      <c r="H34" s="52"/>
      <c r="I34" s="52"/>
      <c r="J34" s="52"/>
      <c r="K34" s="52"/>
      <c r="L34" s="52"/>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sheetData>
  <mergeCells count="2">
    <mergeCell ref="A1:H1"/>
    <mergeCell ref="A31:L34"/>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0"/>
  <sheetViews>
    <sheetView zoomScale="111" zoomScaleNormal="111" workbookViewId="0">
      <selection activeCell="A2" sqref="A2"/>
    </sheetView>
  </sheetViews>
  <sheetFormatPr defaultColWidth="9" defaultRowHeight="16.8" outlineLevelCol="7"/>
  <cols>
    <col min="1" max="1" width="34" customWidth="1"/>
    <col min="2" max="2" width="26" customWidth="1"/>
    <col min="3" max="3" width="44" customWidth="1"/>
    <col min="4" max="4" width="22" customWidth="1"/>
  </cols>
  <sheetData>
    <row r="1" ht="22" spans="1:8">
      <c r="A1" s="19" t="s">
        <v>361</v>
      </c>
      <c r="B1" s="19"/>
      <c r="C1" s="19"/>
      <c r="D1" s="19"/>
      <c r="E1" s="19"/>
      <c r="F1" s="19"/>
      <c r="G1" s="19"/>
      <c r="H1" s="19"/>
    </row>
    <row r="2" spans="1:8">
      <c r="A2" s="3"/>
      <c r="B2" s="3"/>
      <c r="C2" s="3"/>
      <c r="D2" s="3"/>
      <c r="E2" s="3"/>
      <c r="F2" s="3"/>
      <c r="G2" s="3"/>
      <c r="H2" s="3"/>
    </row>
    <row r="3" ht="17" spans="1:8">
      <c r="A3" s="18" t="s">
        <v>362</v>
      </c>
      <c r="B3" s="18" t="s">
        <v>131</v>
      </c>
      <c r="C3" s="18" t="s">
        <v>363</v>
      </c>
      <c r="D3" s="3"/>
      <c r="E3" s="3"/>
      <c r="F3" s="3"/>
      <c r="G3" s="3"/>
      <c r="H3" s="3"/>
    </row>
    <row r="4" ht="17" spans="1:8">
      <c r="A4" s="3" t="s">
        <v>364</v>
      </c>
      <c r="B4" s="48">
        <f>'1PV Proposal'!B8</f>
        <v>406.43</v>
      </c>
      <c r="C4" s="3" t="s">
        <v>365</v>
      </c>
      <c r="D4" s="3"/>
      <c r="E4" s="3"/>
      <c r="F4" s="3"/>
      <c r="G4" s="3"/>
      <c r="H4" s="3"/>
    </row>
    <row r="5" ht="34" spans="1:8">
      <c r="A5" s="3" t="s">
        <v>366</v>
      </c>
      <c r="B5" s="3" t="s">
        <v>367</v>
      </c>
      <c r="C5" s="3" t="s">
        <v>368</v>
      </c>
      <c r="D5" s="3"/>
      <c r="E5" s="3"/>
      <c r="F5" s="3"/>
      <c r="G5" s="3"/>
      <c r="H5" s="3"/>
    </row>
    <row r="6" ht="17" spans="1:8">
      <c r="A6" s="3" t="s">
        <v>158</v>
      </c>
      <c r="B6" s="49">
        <v>430.08</v>
      </c>
      <c r="C6" s="3" t="s">
        <v>369</v>
      </c>
      <c r="D6" s="3"/>
      <c r="E6" s="3"/>
      <c r="F6" s="3"/>
      <c r="G6" s="3"/>
      <c r="H6" s="3"/>
    </row>
    <row r="7" ht="17" spans="1:8">
      <c r="A7" s="3" t="s">
        <v>370</v>
      </c>
      <c r="B7" s="50">
        <v>100</v>
      </c>
      <c r="C7" s="3" t="s">
        <v>371</v>
      </c>
      <c r="D7" s="3"/>
      <c r="E7" s="3"/>
      <c r="F7" s="3"/>
      <c r="G7" s="3"/>
      <c r="H7" s="3"/>
    </row>
    <row r="8" spans="1:8">
      <c r="A8" s="3"/>
      <c r="B8" s="3"/>
      <c r="C8" s="3"/>
      <c r="D8" s="3"/>
      <c r="E8" s="3"/>
      <c r="F8" s="3"/>
      <c r="G8" s="3"/>
      <c r="H8" s="3"/>
    </row>
    <row r="9" spans="1:8">
      <c r="A9" s="3"/>
      <c r="B9" s="3"/>
      <c r="C9" s="3"/>
      <c r="D9" s="3"/>
      <c r="E9" s="3"/>
      <c r="F9" s="3"/>
      <c r="G9" s="3"/>
      <c r="H9" s="3"/>
    </row>
    <row r="10" ht="17" spans="1:8">
      <c r="A10" s="18" t="s">
        <v>108</v>
      </c>
      <c r="B10" s="18" t="s">
        <v>372</v>
      </c>
      <c r="C10" s="18" t="s">
        <v>373</v>
      </c>
      <c r="D10" s="3"/>
      <c r="E10" s="3"/>
      <c r="F10" s="3"/>
      <c r="G10" s="3"/>
      <c r="H10" s="3"/>
    </row>
    <row r="11" ht="17" spans="1:8">
      <c r="A11" s="3" t="s">
        <v>374</v>
      </c>
      <c r="B11" s="3" t="s">
        <v>375</v>
      </c>
      <c r="C11" s="3">
        <v>838</v>
      </c>
      <c r="D11" s="3"/>
      <c r="E11" s="3"/>
      <c r="F11" s="3"/>
      <c r="G11" s="3"/>
      <c r="H11" s="3"/>
    </row>
    <row r="12" ht="17" spans="1:8">
      <c r="A12" s="3" t="s">
        <v>376</v>
      </c>
      <c r="B12" s="3" t="s">
        <v>377</v>
      </c>
      <c r="C12" s="3" t="s">
        <v>378</v>
      </c>
      <c r="D12" s="3"/>
      <c r="E12" s="3"/>
      <c r="F12" s="3"/>
      <c r="G12" s="3"/>
      <c r="H12" s="3"/>
    </row>
    <row r="13" ht="34" spans="1:8">
      <c r="A13" s="3" t="s">
        <v>379</v>
      </c>
      <c r="B13" s="3" t="s">
        <v>380</v>
      </c>
      <c r="C13" s="3">
        <v>2</v>
      </c>
      <c r="D13" s="3"/>
      <c r="E13" s="3"/>
      <c r="F13" s="3"/>
      <c r="G13" s="3"/>
      <c r="H13" s="3"/>
    </row>
    <row r="14" ht="34" spans="1:8">
      <c r="A14" s="3" t="s">
        <v>381</v>
      </c>
      <c r="B14" s="3" t="s">
        <v>382</v>
      </c>
      <c r="C14" s="3">
        <v>2</v>
      </c>
      <c r="D14" s="3"/>
      <c r="E14" s="3"/>
      <c r="F14" s="3"/>
      <c r="G14" s="3"/>
      <c r="H14" s="3"/>
    </row>
    <row r="15" spans="1:8">
      <c r="A15" s="3"/>
      <c r="B15" s="3"/>
      <c r="C15" s="3"/>
      <c r="D15" s="3"/>
      <c r="E15" s="3"/>
      <c r="F15" s="3"/>
      <c r="G15" s="3"/>
      <c r="H15" s="3"/>
    </row>
    <row r="16" spans="1:8">
      <c r="A16" s="3"/>
      <c r="B16" s="3"/>
      <c r="C16" s="3"/>
      <c r="D16" s="3"/>
      <c r="E16" s="3"/>
      <c r="F16" s="3"/>
      <c r="G16" s="3"/>
      <c r="H16" s="3"/>
    </row>
    <row r="17" ht="17" spans="1:8">
      <c r="A17" s="18" t="s">
        <v>383</v>
      </c>
      <c r="B17" s="18" t="s">
        <v>384</v>
      </c>
      <c r="C17" s="18" t="s">
        <v>385</v>
      </c>
      <c r="D17" s="18" t="s">
        <v>386</v>
      </c>
      <c r="E17" s="3"/>
      <c r="F17" s="3"/>
      <c r="G17" s="3"/>
      <c r="H17" s="3"/>
    </row>
    <row r="18" ht="17" spans="1:8">
      <c r="A18" s="3" t="s">
        <v>387</v>
      </c>
      <c r="B18" s="14">
        <f>'1PV Proposal'!E4</f>
        <v>816924.3</v>
      </c>
      <c r="C18" s="14">
        <f>'2ESS Proposal'!E4</f>
        <v>258048</v>
      </c>
      <c r="D18" s="14">
        <f>SUM(B18:C18)</f>
        <v>1074972.3</v>
      </c>
      <c r="E18" s="3"/>
      <c r="F18" s="3"/>
      <c r="G18" s="3"/>
      <c r="H18" s="3"/>
    </row>
    <row r="19" ht="17" spans="1:8">
      <c r="A19" s="3" t="s">
        <v>388</v>
      </c>
      <c r="B19" s="14">
        <f>-'1PV Proposal'!E5</f>
        <v>245077.29</v>
      </c>
      <c r="C19" s="14">
        <f>-'2ESS Proposal'!E5</f>
        <v>77414.4</v>
      </c>
      <c r="D19" s="14">
        <f>SUM(B19:C19)</f>
        <v>322491.69</v>
      </c>
      <c r="E19" s="3"/>
      <c r="F19" s="3"/>
      <c r="G19" s="3"/>
      <c r="H19" s="3"/>
    </row>
    <row r="20" ht="17" spans="1:8">
      <c r="A20" s="3" t="s">
        <v>389</v>
      </c>
      <c r="B20" s="14">
        <f>-'1PV Proposal'!E7</f>
        <v>65353.944</v>
      </c>
      <c r="C20" s="14">
        <f>-'2ESS Proposal'!E7</f>
        <v>20643.84</v>
      </c>
      <c r="D20" s="14">
        <f>SUM(B20:C20)</f>
        <v>85997.784</v>
      </c>
      <c r="E20" s="3"/>
      <c r="F20" s="3"/>
      <c r="G20" s="3"/>
      <c r="H20" s="3"/>
    </row>
    <row r="21" ht="17" spans="1:8">
      <c r="A21" s="3" t="s">
        <v>390</v>
      </c>
      <c r="B21" s="14">
        <f>-'1PV Proposal'!E6</f>
        <v>208315.6965</v>
      </c>
      <c r="C21" s="14">
        <f>-'2ESS Proposal'!E6</f>
        <v>65802.24</v>
      </c>
      <c r="D21" s="14">
        <f>SUM(B21:C21)</f>
        <v>274117.9365</v>
      </c>
      <c r="E21" s="3"/>
      <c r="F21" s="3"/>
      <c r="G21" s="3"/>
      <c r="H21" s="3"/>
    </row>
    <row r="22" ht="17" spans="1:8">
      <c r="A22" s="3" t="s">
        <v>347</v>
      </c>
      <c r="B22" s="14">
        <f>'1PV Proposal'!E8</f>
        <v>298177.3695</v>
      </c>
      <c r="C22" s="14">
        <f>'2ESS Proposal'!E8</f>
        <v>94187.52</v>
      </c>
      <c r="D22" s="14">
        <f>SUM(B22:C22)</f>
        <v>392364.8895</v>
      </c>
      <c r="E22" s="3"/>
      <c r="F22" s="3"/>
      <c r="G22" s="3"/>
      <c r="H22" s="3"/>
    </row>
    <row r="23" ht="17" spans="1:8">
      <c r="A23" s="3" t="s">
        <v>391</v>
      </c>
      <c r="B23" s="3"/>
      <c r="C23" s="3"/>
      <c r="D23" s="21">
        <f>'6Detailed Cash Flow'!B43</f>
        <v>3.88764539094544</v>
      </c>
      <c r="E23" s="3"/>
      <c r="F23" s="3"/>
      <c r="G23" s="3"/>
      <c r="H23" s="3"/>
    </row>
    <row r="24" spans="1:8">
      <c r="A24" s="3"/>
      <c r="B24" s="3"/>
      <c r="C24" s="3"/>
      <c r="D24" s="3"/>
      <c r="E24" s="3"/>
      <c r="F24" s="3"/>
      <c r="G24" s="3"/>
      <c r="H24" s="3"/>
    </row>
    <row r="25" spans="1:8">
      <c r="A25" s="3"/>
      <c r="B25" s="3"/>
      <c r="C25" s="3"/>
      <c r="D25" s="3"/>
      <c r="E25" s="3"/>
      <c r="F25" s="3"/>
      <c r="G25" s="3"/>
      <c r="H25" s="3"/>
    </row>
    <row r="26" spans="1:8">
      <c r="A26" s="23" t="s">
        <v>392</v>
      </c>
      <c r="B26" s="23"/>
      <c r="C26" s="23"/>
      <c r="D26" s="23"/>
      <c r="E26" s="23"/>
      <c r="F26" s="23"/>
      <c r="G26" s="23"/>
      <c r="H26" s="23"/>
    </row>
    <row r="27" spans="1:8">
      <c r="A27" s="23"/>
      <c r="B27" s="23"/>
      <c r="C27" s="23"/>
      <c r="D27" s="23"/>
      <c r="E27" s="23"/>
      <c r="F27" s="23"/>
      <c r="G27" s="23"/>
      <c r="H27" s="23"/>
    </row>
    <row r="28" spans="1:8">
      <c r="A28" s="23"/>
      <c r="B28" s="23"/>
      <c r="C28" s="23"/>
      <c r="D28" s="23"/>
      <c r="E28" s="23"/>
      <c r="F28" s="23"/>
      <c r="G28" s="23"/>
      <c r="H28" s="23"/>
    </row>
    <row r="29" spans="1:8">
      <c r="A29" s="23"/>
      <c r="B29" s="23"/>
      <c r="C29" s="23"/>
      <c r="D29" s="23"/>
      <c r="E29" s="23"/>
      <c r="F29" s="23"/>
      <c r="G29" s="23"/>
      <c r="H29" s="23"/>
    </row>
    <row r="30" spans="1:8">
      <c r="A30" s="23"/>
      <c r="B30" s="23"/>
      <c r="C30" s="23"/>
      <c r="D30" s="23"/>
      <c r="E30" s="23"/>
      <c r="F30" s="23"/>
      <c r="G30" s="23"/>
      <c r="H30" s="23"/>
    </row>
  </sheetData>
  <mergeCells count="2">
    <mergeCell ref="A1:H1"/>
    <mergeCell ref="A26:H30"/>
  </mergeCell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zoomScale="111" zoomScaleNormal="111" workbookViewId="0">
      <selection activeCell="D9" sqref="D9"/>
    </sheetView>
  </sheetViews>
  <sheetFormatPr defaultColWidth="9" defaultRowHeight="16.8" outlineLevelCol="7"/>
  <cols>
    <col min="1" max="1" width="34" customWidth="1"/>
    <col min="2" max="2" width="26" customWidth="1"/>
    <col min="3" max="3" width="44" customWidth="1"/>
    <col min="4" max="4" width="22" customWidth="1"/>
  </cols>
  <sheetData>
    <row r="1" ht="22" spans="1:8">
      <c r="A1" s="19" t="s">
        <v>361</v>
      </c>
      <c r="B1" s="19"/>
      <c r="C1" s="19"/>
      <c r="D1" s="19"/>
      <c r="E1" s="19"/>
      <c r="F1" s="19"/>
      <c r="G1" s="19"/>
      <c r="H1" s="19"/>
    </row>
    <row r="2" spans="1:8">
      <c r="A2" s="3"/>
      <c r="B2" s="3"/>
      <c r="C2" s="3"/>
      <c r="D2" s="3"/>
      <c r="E2" s="3"/>
      <c r="F2" s="3"/>
      <c r="G2" s="3"/>
      <c r="H2" s="3"/>
    </row>
    <row r="3" ht="17" spans="1:8">
      <c r="A3" s="18" t="s">
        <v>383</v>
      </c>
      <c r="B3" s="18" t="s">
        <v>384</v>
      </c>
      <c r="C3" s="18" t="s">
        <v>385</v>
      </c>
      <c r="D3" s="18" t="s">
        <v>386</v>
      </c>
      <c r="E3" s="3"/>
      <c r="F3" s="3"/>
      <c r="G3" s="3"/>
      <c r="H3" s="3"/>
    </row>
    <row r="4" ht="17" spans="1:8">
      <c r="A4" s="3" t="s">
        <v>387</v>
      </c>
      <c r="B4" s="14">
        <f>'1PV Proposal'!E4</f>
        <v>816924.3</v>
      </c>
      <c r="C4" s="14">
        <f>'2ESS Proposal'!E4</f>
        <v>258048</v>
      </c>
      <c r="D4" s="14">
        <f t="shared" ref="D4:D8" si="0">SUM(B4:C4)</f>
        <v>1074972.3</v>
      </c>
      <c r="E4" s="3"/>
      <c r="F4" s="3"/>
      <c r="G4" s="3"/>
      <c r="H4" s="3"/>
    </row>
    <row r="5" ht="17" spans="1:8">
      <c r="A5" s="3" t="s">
        <v>388</v>
      </c>
      <c r="B5" s="14">
        <f>-'1PV Proposal'!E5</f>
        <v>245077.29</v>
      </c>
      <c r="C5" s="14">
        <f>-'2ESS Proposal'!E5</f>
        <v>77414.4</v>
      </c>
      <c r="D5" s="14">
        <f t="shared" si="0"/>
        <v>322491.69</v>
      </c>
      <c r="E5" s="3"/>
      <c r="F5" s="3"/>
      <c r="G5" s="3"/>
      <c r="H5" s="3"/>
    </row>
    <row r="6" ht="17" spans="1:8">
      <c r="A6" s="3" t="s">
        <v>389</v>
      </c>
      <c r="B6" s="14">
        <f>-'1PV Proposal'!E7</f>
        <v>65353.944</v>
      </c>
      <c r="C6" s="14">
        <f>-'2ESS Proposal'!E7</f>
        <v>20643.84</v>
      </c>
      <c r="D6" s="14">
        <f t="shared" si="0"/>
        <v>85997.784</v>
      </c>
      <c r="E6" s="3"/>
      <c r="F6" s="3"/>
      <c r="G6" s="3"/>
      <c r="H6" s="3"/>
    </row>
    <row r="7" ht="17" spans="1:8">
      <c r="A7" s="3" t="s">
        <v>390</v>
      </c>
      <c r="B7" s="14">
        <f>-'1PV Proposal'!E6</f>
        <v>208315.6965</v>
      </c>
      <c r="C7" s="14">
        <f>-'2ESS Proposal'!E6</f>
        <v>65802.24</v>
      </c>
      <c r="D7" s="14">
        <f t="shared" si="0"/>
        <v>274117.9365</v>
      </c>
      <c r="E7" s="3"/>
      <c r="F7" s="3"/>
      <c r="G7" s="3"/>
      <c r="H7" s="3"/>
    </row>
    <row r="8" ht="17" spans="1:8">
      <c r="A8" s="3" t="s">
        <v>347</v>
      </c>
      <c r="B8" s="14">
        <f>'1PV Proposal'!E8</f>
        <v>298177.3695</v>
      </c>
      <c r="C8" s="14">
        <f>'2ESS Proposal'!E8</f>
        <v>94187.52</v>
      </c>
      <c r="D8" s="14">
        <f t="shared" si="0"/>
        <v>392364.8895</v>
      </c>
      <c r="E8" s="3"/>
      <c r="F8" s="3"/>
      <c r="G8" s="3"/>
      <c r="H8" s="3"/>
    </row>
    <row r="9" ht="17" spans="1:8">
      <c r="A9" s="3" t="s">
        <v>391</v>
      </c>
      <c r="B9" s="3"/>
      <c r="C9" s="3"/>
      <c r="D9" s="21">
        <f>'6Detailed Cash Flow'!B43</f>
        <v>3.88764539094544</v>
      </c>
      <c r="E9" s="3"/>
      <c r="F9" s="3"/>
      <c r="G9" s="3"/>
      <c r="H9" s="3"/>
    </row>
  </sheetData>
  <mergeCells count="1">
    <mergeCell ref="A1:H1"/>
  </mergeCell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56"/>
  <sheetViews>
    <sheetView workbookViewId="0">
      <selection activeCell="F11" sqref="F11"/>
    </sheetView>
  </sheetViews>
  <sheetFormatPr defaultColWidth="9" defaultRowHeight="16.8"/>
  <cols>
    <col min="1" max="1" width="34" customWidth="1"/>
    <col min="2" max="3" width="16" customWidth="1"/>
    <col min="4" max="4" width="32" customWidth="1"/>
    <col min="5" max="14" width="16" customWidth="1"/>
  </cols>
  <sheetData>
    <row r="1" ht="23.2" spans="1:26">
      <c r="A1" s="2" t="s">
        <v>393</v>
      </c>
      <c r="B1" s="2"/>
      <c r="C1" s="2"/>
      <c r="D1" s="2"/>
      <c r="E1" s="2"/>
      <c r="F1" s="2"/>
      <c r="G1" s="2"/>
      <c r="H1" s="2"/>
      <c r="I1" s="3"/>
      <c r="J1" s="3"/>
      <c r="K1" s="3"/>
      <c r="L1" s="3"/>
      <c r="M1" s="3"/>
      <c r="N1" s="3"/>
      <c r="O1" s="3"/>
      <c r="P1" s="3"/>
      <c r="Q1" s="3"/>
      <c r="R1" s="3"/>
      <c r="S1" s="3"/>
      <c r="T1" s="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ht="17" spans="1:26">
      <c r="A3" s="4" t="s">
        <v>394</v>
      </c>
      <c r="B3" s="4" t="s">
        <v>131</v>
      </c>
      <c r="C3" s="4" t="s">
        <v>395</v>
      </c>
      <c r="D3" s="4" t="s">
        <v>131</v>
      </c>
      <c r="E3" s="3"/>
      <c r="F3" s="3"/>
      <c r="G3" s="3"/>
      <c r="H3" s="3"/>
      <c r="I3" s="3"/>
      <c r="J3" s="3"/>
      <c r="K3" s="3"/>
      <c r="L3" s="3"/>
      <c r="M3" s="3"/>
      <c r="N3" s="3"/>
      <c r="O3" s="3"/>
      <c r="P3" s="3"/>
      <c r="Q3" s="3"/>
      <c r="R3" s="3"/>
      <c r="S3" s="3"/>
      <c r="T3" s="3"/>
      <c r="U3" s="3"/>
      <c r="V3" s="3"/>
      <c r="W3" s="3"/>
      <c r="X3" s="3"/>
      <c r="Y3" s="3"/>
      <c r="Z3" s="3"/>
    </row>
    <row r="4" ht="17" spans="1:26">
      <c r="A4" s="3" t="s">
        <v>396</v>
      </c>
      <c r="B4" s="3">
        <f>'Model Assumptions'!C4</f>
        <v>709501</v>
      </c>
      <c r="C4" s="3" t="s">
        <v>397</v>
      </c>
      <c r="D4" s="14">
        <f>'0.1Project Overview'!D4</f>
        <v>1074972.3</v>
      </c>
      <c r="E4" s="3"/>
      <c r="F4" s="3"/>
      <c r="G4" s="3"/>
      <c r="H4" s="3"/>
      <c r="I4" s="3"/>
      <c r="J4" s="3"/>
      <c r="K4" s="3"/>
      <c r="L4" s="3"/>
      <c r="M4" s="3"/>
      <c r="N4" s="3"/>
      <c r="O4" s="3"/>
      <c r="P4" s="3"/>
      <c r="Q4" s="3"/>
      <c r="R4" s="3"/>
      <c r="S4" s="3"/>
      <c r="T4" s="3"/>
      <c r="U4" s="3"/>
      <c r="V4" s="3"/>
      <c r="W4" s="3"/>
      <c r="X4" s="3"/>
      <c r="Y4" s="3"/>
      <c r="Z4" s="3"/>
    </row>
    <row r="5" ht="17" spans="1:26">
      <c r="A5" s="3" t="s">
        <v>398</v>
      </c>
      <c r="B5" s="3">
        <f>Recommendation!B6</f>
        <v>406.43</v>
      </c>
      <c r="C5" s="3" t="s">
        <v>399</v>
      </c>
      <c r="D5" s="14">
        <f>'0.1Project Overview'!D5+'0.1Project Overview'!D6+'0.1Project Overview'!D7</f>
        <v>682607.4105</v>
      </c>
      <c r="E5" s="3"/>
      <c r="F5" s="3"/>
      <c r="G5" s="3"/>
      <c r="H5" s="3"/>
      <c r="I5" s="3"/>
      <c r="J5" s="3"/>
      <c r="K5" s="3"/>
      <c r="L5" s="3"/>
      <c r="M5" s="3"/>
      <c r="N5" s="3"/>
      <c r="O5" s="3"/>
      <c r="P5" s="3"/>
      <c r="Q5" s="3"/>
      <c r="R5" s="3"/>
      <c r="S5" s="3"/>
      <c r="T5" s="3"/>
      <c r="U5" s="3"/>
      <c r="V5" s="3"/>
      <c r="W5" s="3"/>
      <c r="X5" s="3"/>
      <c r="Y5" s="3"/>
      <c r="Z5" s="3"/>
    </row>
    <row r="6" ht="17" spans="1:26">
      <c r="A6" s="3" t="s">
        <v>241</v>
      </c>
      <c r="B6" s="3">
        <f>Recommendation!B5</f>
        <v>838</v>
      </c>
      <c r="C6" s="3" t="s">
        <v>400</v>
      </c>
      <c r="D6" s="14">
        <f>'0.1Project Overview'!D8</f>
        <v>392364.8895</v>
      </c>
      <c r="E6" s="3"/>
      <c r="F6" s="3"/>
      <c r="G6" s="3"/>
      <c r="H6" s="3"/>
      <c r="I6" s="3"/>
      <c r="J6" s="3"/>
      <c r="K6" s="3"/>
      <c r="L6" s="3"/>
      <c r="M6" s="3"/>
      <c r="N6" s="3"/>
      <c r="O6" s="3"/>
      <c r="P6" s="3"/>
      <c r="Q6" s="3"/>
      <c r="R6" s="3"/>
      <c r="S6" s="3"/>
      <c r="T6" s="3"/>
      <c r="U6" s="3"/>
      <c r="V6" s="3"/>
      <c r="W6" s="3"/>
      <c r="X6" s="3"/>
      <c r="Y6" s="3"/>
      <c r="Z6" s="3"/>
    </row>
    <row r="7" ht="34" spans="1:26">
      <c r="A7" s="3" t="s">
        <v>401</v>
      </c>
      <c r="B7" s="3">
        <f>Recommendation!B7</f>
        <v>710207.514</v>
      </c>
      <c r="C7" s="3" t="s">
        <v>402</v>
      </c>
      <c r="D7" s="14">
        <f>'4Electric Bills'!AA16</f>
        <v>106305.624984984</v>
      </c>
      <c r="E7" s="3"/>
      <c r="F7" s="3"/>
      <c r="G7" s="3"/>
      <c r="H7" s="3"/>
      <c r="I7" s="3"/>
      <c r="J7" s="3"/>
      <c r="K7" s="3"/>
      <c r="L7" s="3"/>
      <c r="M7" s="3"/>
      <c r="N7" s="3"/>
      <c r="O7" s="3"/>
      <c r="P7" s="3"/>
      <c r="Q7" s="3"/>
      <c r="R7" s="3"/>
      <c r="S7" s="3"/>
      <c r="T7" s="3"/>
      <c r="U7" s="3"/>
      <c r="V7" s="3"/>
      <c r="W7" s="3"/>
      <c r="X7" s="3"/>
      <c r="Y7" s="3"/>
      <c r="Z7" s="3"/>
    </row>
    <row r="8" ht="17" spans="1:26">
      <c r="A8" s="3" t="s">
        <v>403</v>
      </c>
      <c r="B8" s="3">
        <f>Recommendation!B9</f>
        <v>2</v>
      </c>
      <c r="C8" s="3" t="s">
        <v>404</v>
      </c>
      <c r="D8" s="14">
        <f>'5Cash Purchase'!B12</f>
        <v>0.21518282780096</v>
      </c>
      <c r="E8" s="3"/>
      <c r="F8" s="3"/>
      <c r="G8" s="3"/>
      <c r="H8" s="3"/>
      <c r="I8" s="3"/>
      <c r="J8" s="3"/>
      <c r="K8" s="3"/>
      <c r="L8" s="3"/>
      <c r="M8" s="3"/>
      <c r="N8" s="3"/>
      <c r="O8" s="3"/>
      <c r="P8" s="3"/>
      <c r="Q8" s="3"/>
      <c r="R8" s="3"/>
      <c r="S8" s="3"/>
      <c r="T8" s="3"/>
      <c r="U8" s="3"/>
      <c r="V8" s="3"/>
      <c r="W8" s="3"/>
      <c r="X8" s="3"/>
      <c r="Y8" s="3"/>
      <c r="Z8" s="3"/>
    </row>
    <row r="9" ht="17" spans="1:26">
      <c r="A9" s="3" t="s">
        <v>405</v>
      </c>
      <c r="B9" s="3">
        <f>Recommendation!B10</f>
        <v>430.08</v>
      </c>
      <c r="C9" s="3" t="s">
        <v>406</v>
      </c>
      <c r="D9" s="21">
        <f>'Proposal Summary'!E5</f>
        <v>0</v>
      </c>
      <c r="E9" s="3"/>
      <c r="F9" s="3"/>
      <c r="G9" s="3"/>
      <c r="H9" s="3"/>
      <c r="I9" s="3"/>
      <c r="J9" s="3"/>
      <c r="K9" s="3"/>
      <c r="L9" s="3"/>
      <c r="M9" s="3"/>
      <c r="N9" s="3"/>
      <c r="O9" s="3"/>
      <c r="P9" s="3"/>
      <c r="Q9" s="3"/>
      <c r="R9" s="3"/>
      <c r="S9" s="3"/>
      <c r="T9" s="3"/>
      <c r="U9" s="3"/>
      <c r="V9" s="3"/>
      <c r="W9" s="3"/>
      <c r="X9" s="3"/>
      <c r="Y9" s="3"/>
      <c r="Z9" s="3"/>
    </row>
    <row r="10" ht="34" spans="1:26">
      <c r="A10" s="3" t="s">
        <v>407</v>
      </c>
      <c r="B10" s="3">
        <f>Recommendation!B11</f>
        <v>215.04</v>
      </c>
      <c r="C10" s="3" t="s">
        <v>408</v>
      </c>
      <c r="D10" s="46">
        <f>'0.1Project Overview'!D9</f>
        <v>3.88764539094544</v>
      </c>
      <c r="E10" s="3"/>
      <c r="F10" s="3"/>
      <c r="G10" s="3"/>
      <c r="H10" s="3"/>
      <c r="I10" s="3"/>
      <c r="J10" s="3"/>
      <c r="K10" s="3"/>
      <c r="L10" s="3"/>
      <c r="M10" s="3"/>
      <c r="N10" s="3"/>
      <c r="O10" s="3"/>
      <c r="P10" s="3"/>
      <c r="Q10" s="3"/>
      <c r="R10" s="3"/>
      <c r="S10" s="3"/>
      <c r="T10" s="3"/>
      <c r="U10" s="3"/>
      <c r="V10" s="3"/>
      <c r="W10" s="3"/>
      <c r="X10" s="3"/>
      <c r="Y10" s="3"/>
      <c r="Z10" s="3"/>
    </row>
    <row r="11" ht="34" spans="1:26">
      <c r="A11" s="3"/>
      <c r="B11" s="3"/>
      <c r="C11" s="3" t="s">
        <v>409</v>
      </c>
      <c r="D11" s="47">
        <f>'5Cash Purchase'!B11</f>
        <v>4694064.00207188</v>
      </c>
      <c r="E11" s="3"/>
      <c r="F11" s="3"/>
      <c r="G11" s="3"/>
      <c r="H11" s="3"/>
      <c r="I11" s="3"/>
      <c r="J11" s="3"/>
      <c r="K11" s="3"/>
      <c r="L11" s="3"/>
      <c r="M11" s="3"/>
      <c r="N11" s="3"/>
      <c r="O11" s="3"/>
      <c r="P11" s="3"/>
      <c r="Q11" s="3"/>
      <c r="R11" s="3"/>
      <c r="S11" s="3"/>
      <c r="T11" s="3"/>
      <c r="U11" s="3"/>
      <c r="V11" s="3"/>
      <c r="W11" s="3"/>
      <c r="X11" s="3"/>
      <c r="Y11" s="3"/>
      <c r="Z11" s="3"/>
    </row>
    <row r="12" spans="1:26">
      <c r="A12" s="3"/>
      <c r="B12" s="3"/>
      <c r="C12" s="3"/>
      <c r="D12" s="3"/>
      <c r="E12" s="3"/>
      <c r="F12" s="3"/>
      <c r="G12" s="3"/>
      <c r="H12" s="3"/>
      <c r="I12" s="3"/>
      <c r="J12" s="3"/>
      <c r="K12" s="3"/>
      <c r="L12" s="3"/>
      <c r="M12" s="3"/>
      <c r="N12" s="3"/>
      <c r="O12" s="3"/>
      <c r="P12" s="3"/>
      <c r="Q12" s="3"/>
      <c r="R12" s="3"/>
      <c r="S12" s="3"/>
      <c r="T12" s="3"/>
      <c r="U12" s="3"/>
      <c r="V12" s="3"/>
      <c r="W12" s="3"/>
      <c r="X12" s="3"/>
      <c r="Y12" s="3"/>
      <c r="Z12" s="3"/>
    </row>
    <row r="13" spans="5:26">
      <c r="E13" s="3"/>
      <c r="F13" s="3"/>
      <c r="G13" s="3"/>
      <c r="H13" s="3"/>
      <c r="I13" s="3"/>
      <c r="J13" s="3"/>
      <c r="K13" s="3"/>
      <c r="L13" s="3"/>
      <c r="M13" s="3"/>
      <c r="N13" s="3"/>
      <c r="O13" s="3"/>
      <c r="P13" s="3"/>
      <c r="Q13" s="3"/>
      <c r="R13" s="3"/>
      <c r="S13" s="3"/>
      <c r="T13" s="3"/>
      <c r="U13" s="3"/>
      <c r="V13" s="3"/>
      <c r="W13" s="3"/>
      <c r="X13" s="3"/>
      <c r="Y13" s="3"/>
      <c r="Z13" s="3"/>
    </row>
    <row r="14" spans="5:26">
      <c r="E14" s="3"/>
      <c r="F14" s="3"/>
      <c r="G14" s="3"/>
      <c r="H14" s="3"/>
      <c r="I14" s="3"/>
      <c r="J14" s="3"/>
      <c r="K14" s="3"/>
      <c r="L14" s="3"/>
      <c r="M14" s="3"/>
      <c r="N14" s="3"/>
      <c r="O14" s="3"/>
      <c r="P14" s="3"/>
      <c r="Q14" s="3"/>
      <c r="R14" s="3"/>
      <c r="S14" s="3"/>
      <c r="T14" s="3"/>
      <c r="U14" s="3"/>
      <c r="V14" s="3"/>
      <c r="W14" s="3"/>
      <c r="X14" s="3"/>
      <c r="Y14" s="3"/>
      <c r="Z14" s="3"/>
    </row>
    <row r="15" spans="5:26">
      <c r="E15" s="3"/>
      <c r="F15" s="3"/>
      <c r="G15" s="3"/>
      <c r="H15" s="3"/>
      <c r="I15" s="3"/>
      <c r="J15" s="3"/>
      <c r="K15" s="3"/>
      <c r="L15" s="3"/>
      <c r="M15" s="3"/>
      <c r="N15" s="3"/>
      <c r="O15" s="3"/>
      <c r="P15" s="3"/>
      <c r="Q15" s="3"/>
      <c r="R15" s="3"/>
      <c r="S15" s="3"/>
      <c r="T15" s="3"/>
      <c r="U15" s="3"/>
      <c r="V15" s="3"/>
      <c r="W15" s="3"/>
      <c r="X15" s="3"/>
      <c r="Y15" s="3"/>
      <c r="Z15" s="3"/>
    </row>
    <row r="16" spans="5:26">
      <c r="E16" s="3"/>
      <c r="F16" s="3"/>
      <c r="G16" s="3"/>
      <c r="H16" s="3"/>
      <c r="I16" s="3"/>
      <c r="J16" s="3"/>
      <c r="K16" s="3"/>
      <c r="L16" s="3"/>
      <c r="M16" s="3"/>
      <c r="N16" s="3"/>
      <c r="O16" s="3"/>
      <c r="P16" s="3"/>
      <c r="Q16" s="3"/>
      <c r="R16" s="3"/>
      <c r="S16" s="3"/>
      <c r="T16" s="3"/>
      <c r="U16" s="3"/>
      <c r="V16" s="3"/>
      <c r="W16" s="3"/>
      <c r="X16" s="3"/>
      <c r="Y16" s="3"/>
      <c r="Z16" s="3"/>
    </row>
    <row r="17" spans="5:26">
      <c r="E17" s="3"/>
      <c r="F17" s="3"/>
      <c r="G17" s="3"/>
      <c r="H17" s="3"/>
      <c r="I17" s="3"/>
      <c r="J17" s="3"/>
      <c r="K17" s="3"/>
      <c r="L17" s="3"/>
      <c r="M17" s="3"/>
      <c r="N17" s="3"/>
      <c r="O17" s="3"/>
      <c r="P17" s="3"/>
      <c r="Q17" s="3"/>
      <c r="R17" s="3"/>
      <c r="S17" s="3"/>
      <c r="T17" s="3"/>
      <c r="U17" s="3"/>
      <c r="V17" s="3"/>
      <c r="W17" s="3"/>
      <c r="X17" s="3"/>
      <c r="Y17" s="3"/>
      <c r="Z17" s="3"/>
    </row>
    <row r="18" spans="5:26">
      <c r="E18" s="3"/>
      <c r="F18" s="3"/>
      <c r="G18" s="3"/>
      <c r="H18" s="3"/>
      <c r="I18" s="3"/>
      <c r="J18" s="3"/>
      <c r="K18" s="3"/>
      <c r="L18" s="3"/>
      <c r="M18" s="3"/>
      <c r="N18" s="3"/>
      <c r="O18" s="3"/>
      <c r="P18" s="3"/>
      <c r="Q18" s="3"/>
      <c r="R18" s="3"/>
      <c r="S18" s="3"/>
      <c r="T18" s="3"/>
      <c r="U18" s="3"/>
      <c r="V18" s="3"/>
      <c r="W18" s="3"/>
      <c r="X18" s="3"/>
      <c r="Y18" s="3"/>
      <c r="Z18" s="3"/>
    </row>
    <row r="19" spans="5:26">
      <c r="E19" s="3"/>
      <c r="F19" s="3"/>
      <c r="G19" s="3"/>
      <c r="H19" s="3"/>
      <c r="I19" s="3"/>
      <c r="J19" s="3"/>
      <c r="K19" s="3"/>
      <c r="L19" s="3"/>
      <c r="M19" s="3"/>
      <c r="N19" s="3"/>
      <c r="O19" s="3"/>
      <c r="P19" s="3"/>
      <c r="Q19" s="3"/>
      <c r="R19" s="3"/>
      <c r="S19" s="3"/>
      <c r="T19" s="3"/>
      <c r="U19" s="3"/>
      <c r="V19" s="3"/>
      <c r="W19" s="3"/>
      <c r="X19" s="3"/>
      <c r="Y19" s="3"/>
      <c r="Z19" s="3"/>
    </row>
    <row r="20" spans="5:26">
      <c r="E20" s="3"/>
      <c r="F20" s="3"/>
      <c r="G20" s="3"/>
      <c r="H20" s="3"/>
      <c r="I20" s="3"/>
      <c r="J20" s="3"/>
      <c r="K20" s="3"/>
      <c r="L20" s="3"/>
      <c r="M20" s="3"/>
      <c r="N20" s="3"/>
      <c r="O20" s="3"/>
      <c r="P20" s="3"/>
      <c r="Q20" s="3"/>
      <c r="R20" s="3"/>
      <c r="S20" s="3"/>
      <c r="T20" s="3"/>
      <c r="U20" s="3"/>
      <c r="V20" s="3"/>
      <c r="W20" s="3"/>
      <c r="X20" s="3"/>
      <c r="Y20" s="3"/>
      <c r="Z20" s="3"/>
    </row>
    <row r="21" spans="1:26">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sheetData>
  <mergeCells count="1">
    <mergeCell ref="A1:H1"/>
  </mergeCell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0"/>
  <sheetViews>
    <sheetView zoomScale="108" zoomScaleNormal="108" topLeftCell="A28" workbookViewId="0">
      <selection activeCell="B51" sqref="B51"/>
    </sheetView>
  </sheetViews>
  <sheetFormatPr defaultColWidth="9" defaultRowHeight="16.8"/>
  <cols>
    <col min="1" max="1" width="34" customWidth="1"/>
    <col min="2" max="3" width="16" customWidth="1"/>
    <col min="4" max="4" width="32" customWidth="1"/>
    <col min="5" max="14" width="16" customWidth="1"/>
  </cols>
  <sheetData>
    <row r="1" ht="23.2" spans="1:26">
      <c r="A1" s="2" t="s">
        <v>410</v>
      </c>
      <c r="B1" s="2"/>
      <c r="C1" s="2"/>
      <c r="D1" s="2"/>
      <c r="E1" s="2"/>
      <c r="F1" s="2"/>
      <c r="G1" s="2"/>
      <c r="H1" s="2"/>
      <c r="I1" s="2"/>
      <c r="J1" s="2"/>
      <c r="K1" s="3"/>
      <c r="L1" s="3"/>
      <c r="M1" s="3"/>
      <c r="N1" s="3"/>
      <c r="O1" s="3"/>
      <c r="P1" s="3"/>
      <c r="Q1" s="3"/>
      <c r="R1" s="3"/>
      <c r="S1" s="3"/>
      <c r="T1" s="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ht="51" spans="1:26">
      <c r="A3" s="4" t="s">
        <v>411</v>
      </c>
      <c r="B3" s="4" t="s">
        <v>412</v>
      </c>
      <c r="C3" s="3"/>
      <c r="D3" s="4" t="s">
        <v>413</v>
      </c>
      <c r="E3" s="4"/>
      <c r="F3" s="3"/>
      <c r="G3" s="4" t="s">
        <v>414</v>
      </c>
      <c r="H3" s="4" t="s">
        <v>415</v>
      </c>
      <c r="I3" s="3"/>
      <c r="J3" s="3"/>
      <c r="K3" s="3"/>
      <c r="L3" s="3"/>
      <c r="M3" s="3"/>
      <c r="N3" s="3"/>
      <c r="O3" s="3"/>
      <c r="P3" s="3"/>
      <c r="Q3" s="3"/>
      <c r="R3" s="3"/>
      <c r="S3" s="3"/>
      <c r="T3" s="3"/>
      <c r="U3" s="3"/>
      <c r="V3" s="3"/>
      <c r="W3" s="3"/>
      <c r="X3" s="3"/>
      <c r="Y3" s="3"/>
      <c r="Z3" s="3"/>
    </row>
    <row r="4" ht="51" spans="1:26">
      <c r="A4" s="3" t="s">
        <v>416</v>
      </c>
      <c r="B4" s="3" t="s">
        <v>417</v>
      </c>
      <c r="C4" s="3"/>
      <c r="D4" s="3" t="s">
        <v>418</v>
      </c>
      <c r="E4" s="14">
        <f>'1PV Proposal'!B8*1000*'Model Assumptions'!C17</f>
        <v>816924.3</v>
      </c>
      <c r="F4" s="3"/>
      <c r="G4" s="3" t="s">
        <v>419</v>
      </c>
      <c r="H4" s="3">
        <f>'PV Production'!B17</f>
        <v>709501</v>
      </c>
      <c r="I4" s="3"/>
      <c r="J4" s="3"/>
      <c r="K4" s="3"/>
      <c r="L4" s="3"/>
      <c r="M4" s="3"/>
      <c r="N4" s="3"/>
      <c r="O4" s="3"/>
      <c r="P4" s="3"/>
      <c r="Q4" s="3"/>
      <c r="R4" s="3"/>
      <c r="S4" s="3"/>
      <c r="T4" s="3"/>
      <c r="U4" s="3"/>
      <c r="V4" s="3"/>
      <c r="W4" s="3"/>
      <c r="X4" s="3"/>
      <c r="Y4" s="3"/>
      <c r="Z4" s="3"/>
    </row>
    <row r="5" ht="51" spans="1:26">
      <c r="A5" s="3" t="s">
        <v>420</v>
      </c>
      <c r="B5" s="3">
        <v>709501</v>
      </c>
      <c r="C5" s="3"/>
      <c r="D5" s="3" t="s">
        <v>421</v>
      </c>
      <c r="E5" s="14">
        <f>-E4*'3Rebates Incentives'!E4</f>
        <v>-245077.29</v>
      </c>
      <c r="F5" s="3"/>
      <c r="G5" s="3" t="s">
        <v>422</v>
      </c>
      <c r="H5" s="45">
        <f>'4Electric Bills'!S16</f>
        <v>623663.608317886</v>
      </c>
      <c r="I5" s="3"/>
      <c r="J5" s="3"/>
      <c r="K5" s="3"/>
      <c r="L5" s="3"/>
      <c r="M5" s="3"/>
      <c r="N5" s="3"/>
      <c r="O5" s="3"/>
      <c r="P5" s="3"/>
      <c r="Q5" s="3"/>
      <c r="R5" s="3"/>
      <c r="S5" s="3"/>
      <c r="T5" s="3"/>
      <c r="U5" s="3"/>
      <c r="V5" s="3"/>
      <c r="W5" s="3"/>
      <c r="X5" s="3"/>
      <c r="Y5" s="3"/>
      <c r="Z5" s="3"/>
    </row>
    <row r="6" ht="34" spans="1:26">
      <c r="A6" s="3" t="s">
        <v>423</v>
      </c>
      <c r="B6" s="3">
        <v>485</v>
      </c>
      <c r="C6" s="3"/>
      <c r="D6" s="3" t="s">
        <v>424</v>
      </c>
      <c r="E6" s="14">
        <f>-E4*(1-0.5*'3Rebates Incentives'!E4)*'3Rebates Incentives'!E5</f>
        <v>-208315.6965</v>
      </c>
      <c r="F6" s="3"/>
      <c r="G6" s="3" t="s">
        <v>425</v>
      </c>
      <c r="H6" s="45">
        <f>H4-H5</f>
        <v>85837.3916821138</v>
      </c>
      <c r="I6" s="3"/>
      <c r="J6" s="3"/>
      <c r="K6" s="3"/>
      <c r="L6" s="3"/>
      <c r="M6" s="3"/>
      <c r="N6" s="3"/>
      <c r="O6" s="3"/>
      <c r="P6" s="3"/>
      <c r="Q6" s="3"/>
      <c r="R6" s="3"/>
      <c r="S6" s="3"/>
      <c r="T6" s="3"/>
      <c r="U6" s="3"/>
      <c r="V6" s="3"/>
      <c r="W6" s="3"/>
      <c r="X6" s="3"/>
      <c r="Y6" s="3"/>
      <c r="Z6" s="3"/>
    </row>
    <row r="7" ht="34" spans="1:26">
      <c r="A7" s="3" t="s">
        <v>426</v>
      </c>
      <c r="B7" s="3">
        <v>838</v>
      </c>
      <c r="C7" s="3"/>
      <c r="D7" s="3" t="s">
        <v>427</v>
      </c>
      <c r="E7" s="14">
        <f>-E4*'3Rebates Incentives'!E6</f>
        <v>-65353.944</v>
      </c>
      <c r="F7" s="3"/>
      <c r="G7" s="3"/>
      <c r="H7" s="3"/>
      <c r="I7" s="3"/>
      <c r="J7" s="3"/>
      <c r="K7" s="3"/>
      <c r="L7" s="3"/>
      <c r="M7" s="3"/>
      <c r="N7" s="3"/>
      <c r="O7" s="3"/>
      <c r="P7" s="3"/>
      <c r="Q7" s="3"/>
      <c r="R7" s="3"/>
      <c r="S7" s="3"/>
      <c r="T7" s="3"/>
      <c r="U7" s="3"/>
      <c r="V7" s="3"/>
      <c r="W7" s="3"/>
      <c r="X7" s="3"/>
      <c r="Y7" s="3"/>
      <c r="Z7" s="3"/>
    </row>
    <row r="8" ht="17" spans="1:26">
      <c r="A8" s="3" t="s">
        <v>428</v>
      </c>
      <c r="B8" s="3">
        <f>Recommendation!B6</f>
        <v>406.43</v>
      </c>
      <c r="C8" s="3"/>
      <c r="D8" s="3" t="s">
        <v>429</v>
      </c>
      <c r="E8" s="14">
        <f>SUM(E4:E7)</f>
        <v>298177.3695</v>
      </c>
      <c r="F8" s="3"/>
      <c r="G8" s="3"/>
      <c r="H8" s="3"/>
      <c r="I8" s="3"/>
      <c r="J8" s="3"/>
      <c r="K8" s="3"/>
      <c r="L8" s="3"/>
      <c r="M8" s="3"/>
      <c r="N8" s="3"/>
      <c r="O8" s="3"/>
      <c r="P8" s="3"/>
      <c r="Q8" s="3"/>
      <c r="R8" s="3"/>
      <c r="S8" s="3"/>
      <c r="T8" s="3"/>
      <c r="U8" s="3"/>
      <c r="V8" s="3"/>
      <c r="W8" s="3"/>
      <c r="X8" s="3"/>
      <c r="Y8" s="3"/>
      <c r="Z8" s="3"/>
    </row>
    <row r="9" ht="17" spans="1:26">
      <c r="A9" s="3" t="s">
        <v>430</v>
      </c>
      <c r="B9" s="3">
        <f>Recommendation!B7</f>
        <v>710207.514</v>
      </c>
      <c r="C9" s="3"/>
      <c r="D9" s="3" t="s">
        <v>431</v>
      </c>
      <c r="E9" s="12">
        <f>'PV Production'!I17</f>
        <v>1.00099578999889</v>
      </c>
      <c r="F9" s="3"/>
      <c r="G9" s="3"/>
      <c r="H9" s="3"/>
      <c r="I9" s="3"/>
      <c r="J9" s="3"/>
      <c r="K9" s="3"/>
      <c r="L9" s="3"/>
      <c r="M9" s="3"/>
      <c r="N9" s="3"/>
      <c r="O9" s="3"/>
      <c r="P9" s="3"/>
      <c r="Q9" s="3"/>
      <c r="R9" s="3"/>
      <c r="S9" s="3"/>
      <c r="T9" s="3"/>
      <c r="U9" s="3"/>
      <c r="V9" s="3"/>
      <c r="W9" s="3"/>
      <c r="X9" s="3"/>
      <c r="Y9" s="3"/>
      <c r="Z9" s="3"/>
    </row>
    <row r="10" spans="1:26">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c r="A11" s="3"/>
      <c r="B11" s="3"/>
      <c r="C11" s="3"/>
      <c r="D11" s="3"/>
      <c r="E11" s="3"/>
      <c r="F11" s="3"/>
      <c r="G11" s="3"/>
      <c r="H11" s="3"/>
      <c r="I11" s="3"/>
      <c r="J11" s="3"/>
      <c r="K11" s="3"/>
      <c r="L11" s="3"/>
      <c r="M11" s="3"/>
      <c r="N11" s="3"/>
      <c r="O11" s="3"/>
      <c r="P11" s="3"/>
      <c r="Q11" s="3"/>
      <c r="R11" s="3"/>
      <c r="S11" s="3"/>
      <c r="T11" s="3"/>
      <c r="U11" s="3"/>
      <c r="V11" s="3"/>
      <c r="W11" s="3"/>
      <c r="X11" s="3"/>
      <c r="Y11" s="3"/>
      <c r="Z11" s="3"/>
    </row>
    <row r="12" ht="34" spans="1:26">
      <c r="A12" s="4" t="s">
        <v>213</v>
      </c>
      <c r="B12" s="4" t="s">
        <v>432</v>
      </c>
      <c r="C12" s="4" t="s">
        <v>433</v>
      </c>
      <c r="D12" s="4" t="s">
        <v>434</v>
      </c>
      <c r="E12" s="3"/>
      <c r="F12" s="3"/>
      <c r="G12" s="3"/>
      <c r="H12" s="3"/>
      <c r="I12" s="3"/>
      <c r="J12" s="3"/>
      <c r="K12" s="3"/>
      <c r="L12" s="3"/>
      <c r="M12" s="3"/>
      <c r="N12" s="3"/>
      <c r="O12" s="3"/>
      <c r="P12" s="3"/>
      <c r="Q12" s="3"/>
      <c r="R12" s="3"/>
      <c r="S12" s="3"/>
      <c r="T12" s="3"/>
      <c r="U12" s="3"/>
      <c r="V12" s="3"/>
      <c r="W12" s="3"/>
      <c r="X12" s="3"/>
      <c r="Y12" s="3"/>
      <c r="Z12" s="3"/>
    </row>
    <row r="13" ht="17" spans="1:26">
      <c r="A13" s="3" t="str">
        <f>'PV Production'!A5</f>
        <v>Jan 2024</v>
      </c>
      <c r="B13" s="3">
        <f>'PV Production'!B5</f>
        <v>54844</v>
      </c>
      <c r="C13" s="3">
        <f>'PV Production'!G5</f>
        <v>43391.64</v>
      </c>
      <c r="D13" s="3">
        <f>'PV Production'!H5</f>
        <v>-11452.36</v>
      </c>
      <c r="E13" s="3"/>
      <c r="F13" s="3"/>
      <c r="G13" s="3"/>
      <c r="H13" s="3"/>
      <c r="I13" s="3"/>
      <c r="J13" s="3"/>
      <c r="K13" s="3"/>
      <c r="L13" s="3"/>
      <c r="M13" s="3"/>
      <c r="N13" s="3"/>
      <c r="O13" s="3"/>
      <c r="P13" s="3"/>
      <c r="Q13" s="3"/>
      <c r="R13" s="3"/>
      <c r="S13" s="3"/>
      <c r="T13" s="3"/>
      <c r="U13" s="3"/>
      <c r="V13" s="3"/>
      <c r="W13" s="3"/>
      <c r="X13" s="3"/>
      <c r="Y13" s="3"/>
      <c r="Z13" s="3"/>
    </row>
    <row r="14" ht="17" spans="1:26">
      <c r="A14" s="3" t="str">
        <f>'PV Production'!A6</f>
        <v>Feb 2024</v>
      </c>
      <c r="B14" s="3">
        <f>'PV Production'!B6</f>
        <v>48926</v>
      </c>
      <c r="C14" s="3">
        <f>'PV Production'!G6</f>
        <v>46834.144</v>
      </c>
      <c r="D14" s="3">
        <f>'PV Production'!H6</f>
        <v>-2091.856</v>
      </c>
      <c r="E14" s="3"/>
      <c r="F14" s="3"/>
      <c r="G14" s="3"/>
      <c r="H14" s="3"/>
      <c r="I14" s="3"/>
      <c r="J14" s="3"/>
      <c r="K14" s="3"/>
      <c r="L14" s="3"/>
      <c r="M14" s="3"/>
      <c r="N14" s="3"/>
      <c r="O14" s="3"/>
      <c r="P14" s="3"/>
      <c r="Q14" s="3"/>
      <c r="R14" s="3"/>
      <c r="S14" s="3"/>
      <c r="T14" s="3"/>
      <c r="U14" s="3"/>
      <c r="V14" s="3"/>
      <c r="W14" s="3"/>
      <c r="X14" s="3"/>
      <c r="Y14" s="3"/>
      <c r="Z14" s="3"/>
    </row>
    <row r="15" ht="17" spans="1:26">
      <c r="A15" s="3" t="str">
        <f>'PV Production'!A7</f>
        <v>Mar 2024</v>
      </c>
      <c r="B15" s="3">
        <f>'PV Production'!B7</f>
        <v>52449</v>
      </c>
      <c r="C15" s="3">
        <f>'PV Production'!G7</f>
        <v>61748.868</v>
      </c>
      <c r="D15" s="3">
        <f>'PV Production'!H7</f>
        <v>9299.868</v>
      </c>
      <c r="E15" s="3"/>
      <c r="F15" s="3"/>
      <c r="G15" s="3"/>
      <c r="H15" s="3"/>
      <c r="I15" s="3"/>
      <c r="J15" s="3"/>
      <c r="K15" s="3"/>
      <c r="L15" s="3"/>
      <c r="M15" s="3"/>
      <c r="N15" s="3"/>
      <c r="O15" s="3"/>
      <c r="P15" s="3"/>
      <c r="Q15" s="3"/>
      <c r="R15" s="3"/>
      <c r="S15" s="3"/>
      <c r="T15" s="3"/>
      <c r="U15" s="3"/>
      <c r="V15" s="3"/>
      <c r="W15" s="3"/>
      <c r="X15" s="3"/>
      <c r="Y15" s="3"/>
      <c r="Z15" s="3"/>
    </row>
    <row r="16" ht="17" spans="1:26">
      <c r="A16" s="3" t="str">
        <f>'PV Production'!A8</f>
        <v>Apr 2024</v>
      </c>
      <c r="B16" s="3">
        <f>'PV Production'!B8</f>
        <v>40752</v>
      </c>
      <c r="C16" s="3">
        <f>'PV Production'!G8</f>
        <v>69502.882</v>
      </c>
      <c r="D16" s="3">
        <f>'PV Production'!H8</f>
        <v>28750.882</v>
      </c>
      <c r="E16" s="3"/>
      <c r="F16" s="3"/>
      <c r="G16" s="3"/>
      <c r="H16" s="3"/>
      <c r="I16" s="3"/>
      <c r="J16" s="3"/>
      <c r="K16" s="3"/>
      <c r="L16" s="3"/>
      <c r="M16" s="3"/>
      <c r="N16" s="3"/>
      <c r="O16" s="3"/>
      <c r="P16" s="3"/>
      <c r="Q16" s="3"/>
      <c r="R16" s="3"/>
      <c r="S16" s="3"/>
      <c r="T16" s="3"/>
      <c r="U16" s="3"/>
      <c r="V16" s="3"/>
      <c r="W16" s="3"/>
      <c r="X16" s="3"/>
      <c r="Y16" s="3"/>
      <c r="Z16" s="3"/>
    </row>
    <row r="17" ht="17" spans="1:26">
      <c r="A17" s="3" t="str">
        <f>'PV Production'!A9</f>
        <v>May 2024</v>
      </c>
      <c r="B17" s="3">
        <f>'PV Production'!B9</f>
        <v>51220</v>
      </c>
      <c r="C17" s="3">
        <f>'PV Production'!G9</f>
        <v>76926.724</v>
      </c>
      <c r="D17" s="3">
        <f>'PV Production'!H9</f>
        <v>25706.724</v>
      </c>
      <c r="E17" s="3"/>
      <c r="F17" s="3"/>
      <c r="G17" s="3"/>
      <c r="H17" s="3"/>
      <c r="I17" s="3"/>
      <c r="J17" s="3"/>
      <c r="K17" s="3"/>
      <c r="L17" s="3"/>
      <c r="M17" s="3"/>
      <c r="N17" s="3"/>
      <c r="O17" s="3"/>
      <c r="P17" s="3"/>
      <c r="Q17" s="3"/>
      <c r="R17" s="3"/>
      <c r="S17" s="3"/>
      <c r="T17" s="3"/>
      <c r="U17" s="3"/>
      <c r="V17" s="3"/>
      <c r="W17" s="3"/>
      <c r="X17" s="3"/>
      <c r="Y17" s="3"/>
      <c r="Z17" s="3"/>
    </row>
    <row r="18" ht="17" spans="1:26">
      <c r="A18" s="3" t="str">
        <f>'PV Production'!A10</f>
        <v>Jun 2024</v>
      </c>
      <c r="B18" s="3">
        <f>'PV Production'!B10</f>
        <v>50744</v>
      </c>
      <c r="C18" s="3">
        <f>'PV Production'!G10</f>
        <v>76305.766</v>
      </c>
      <c r="D18" s="3">
        <f>'PV Production'!H10</f>
        <v>25561.766</v>
      </c>
      <c r="E18" s="3"/>
      <c r="F18" s="3"/>
      <c r="G18" s="3"/>
      <c r="H18" s="3"/>
      <c r="I18" s="3"/>
      <c r="J18" s="3"/>
      <c r="K18" s="3"/>
      <c r="L18" s="3"/>
      <c r="M18" s="3"/>
      <c r="N18" s="3"/>
      <c r="O18" s="3"/>
      <c r="P18" s="3"/>
      <c r="Q18" s="3"/>
      <c r="R18" s="3"/>
      <c r="S18" s="3"/>
      <c r="T18" s="3"/>
      <c r="U18" s="3"/>
      <c r="V18" s="3"/>
      <c r="W18" s="3"/>
      <c r="X18" s="3"/>
      <c r="Y18" s="3"/>
      <c r="Z18" s="3"/>
    </row>
    <row r="19" ht="17" spans="1:26">
      <c r="A19" s="3" t="str">
        <f>'PV Production'!A11</f>
        <v>Jul 2024</v>
      </c>
      <c r="B19" s="3">
        <f>'PV Production'!B11</f>
        <v>81109</v>
      </c>
      <c r="C19" s="3">
        <f>'PV Production'!G11</f>
        <v>70470.772</v>
      </c>
      <c r="D19" s="3">
        <f>'PV Production'!H11</f>
        <v>-10638.228</v>
      </c>
      <c r="E19" s="3"/>
      <c r="F19" s="3"/>
      <c r="G19" s="3"/>
      <c r="H19" s="3"/>
      <c r="I19" s="3"/>
      <c r="J19" s="3"/>
      <c r="K19" s="3"/>
      <c r="L19" s="3"/>
      <c r="M19" s="3"/>
      <c r="N19" s="3"/>
      <c r="O19" s="3"/>
      <c r="P19" s="3"/>
      <c r="Q19" s="3"/>
      <c r="R19" s="3"/>
      <c r="S19" s="3"/>
      <c r="T19" s="3"/>
      <c r="U19" s="3"/>
      <c r="V19" s="3"/>
      <c r="W19" s="3"/>
      <c r="X19" s="3"/>
      <c r="Y19" s="3"/>
      <c r="Z19" s="3"/>
    </row>
    <row r="20" ht="17" spans="1:26">
      <c r="A20" s="3" t="str">
        <f>'PV Production'!A12</f>
        <v>Aug 2024</v>
      </c>
      <c r="B20" s="3">
        <f>'PV Production'!B12</f>
        <v>80723</v>
      </c>
      <c r="C20" s="3">
        <f>'PV Production'!G12</f>
        <v>69633.61</v>
      </c>
      <c r="D20" s="3">
        <f>'PV Production'!H12</f>
        <v>-11089.39</v>
      </c>
      <c r="E20" s="3"/>
      <c r="F20" s="3"/>
      <c r="G20" s="3"/>
      <c r="H20" s="3"/>
      <c r="I20" s="3"/>
      <c r="J20" s="3"/>
      <c r="K20" s="3"/>
      <c r="L20" s="3"/>
      <c r="M20" s="3"/>
      <c r="N20" s="3"/>
      <c r="O20" s="3"/>
      <c r="P20" s="3"/>
      <c r="Q20" s="3"/>
      <c r="R20" s="3"/>
      <c r="S20" s="3"/>
      <c r="T20" s="3"/>
      <c r="U20" s="3"/>
      <c r="V20" s="3"/>
      <c r="W20" s="3"/>
      <c r="X20" s="3"/>
      <c r="Y20" s="3"/>
      <c r="Z20" s="3"/>
    </row>
    <row r="21" ht="17" spans="1:26">
      <c r="A21" s="3" t="str">
        <f>'PV Production'!A13</f>
        <v>Sep 2024</v>
      </c>
      <c r="B21" s="3">
        <f>'PV Production'!B13</f>
        <v>84369</v>
      </c>
      <c r="C21" s="3">
        <f>'PV Production'!G13</f>
        <v>60646.06</v>
      </c>
      <c r="D21" s="3">
        <f>'PV Production'!H13</f>
        <v>-23722.94</v>
      </c>
      <c r="E21" s="3"/>
      <c r="F21" s="3"/>
      <c r="G21" s="3"/>
      <c r="H21" s="3"/>
      <c r="I21" s="3"/>
      <c r="J21" s="3"/>
      <c r="K21" s="3"/>
      <c r="L21" s="3"/>
      <c r="M21" s="3"/>
      <c r="N21" s="3"/>
      <c r="O21" s="3"/>
      <c r="P21" s="3"/>
      <c r="Q21" s="3"/>
      <c r="R21" s="3"/>
      <c r="S21" s="3"/>
      <c r="T21" s="3"/>
      <c r="U21" s="3"/>
      <c r="V21" s="3"/>
      <c r="W21" s="3"/>
      <c r="X21" s="3"/>
      <c r="Y21" s="3"/>
      <c r="Z21" s="3"/>
    </row>
    <row r="22" ht="17" spans="1:26">
      <c r="A22" s="3" t="str">
        <f>'PV Production'!A14</f>
        <v>Oct 2023</v>
      </c>
      <c r="B22" s="3">
        <f>'PV Production'!B14</f>
        <v>50017</v>
      </c>
      <c r="C22" s="3">
        <f>'PV Production'!G14</f>
        <v>54977.828</v>
      </c>
      <c r="D22" s="3">
        <f>'PV Production'!H14</f>
        <v>4960.828</v>
      </c>
      <c r="E22" s="3"/>
      <c r="F22" s="3"/>
      <c r="G22" s="3"/>
      <c r="H22" s="3"/>
      <c r="I22" s="3"/>
      <c r="J22" s="3"/>
      <c r="K22" s="3"/>
      <c r="L22" s="3"/>
      <c r="M22" s="3"/>
      <c r="N22" s="3"/>
      <c r="O22" s="3"/>
      <c r="P22" s="3"/>
      <c r="Q22" s="3"/>
      <c r="R22" s="3"/>
      <c r="S22" s="3"/>
      <c r="T22" s="3"/>
      <c r="U22" s="3"/>
      <c r="V22" s="3"/>
      <c r="W22" s="3"/>
      <c r="X22" s="3"/>
      <c r="Y22" s="3"/>
      <c r="Z22" s="3"/>
    </row>
    <row r="23" ht="17" spans="1:26">
      <c r="A23" s="3" t="str">
        <f>'PV Production'!A15</f>
        <v>Nov 2023</v>
      </c>
      <c r="B23" s="3">
        <f>'PV Production'!B15</f>
        <v>61096</v>
      </c>
      <c r="C23" s="3">
        <f>'PV Production'!G15</f>
        <v>42779.9</v>
      </c>
      <c r="D23" s="3">
        <f>'PV Production'!H15</f>
        <v>-18316.1</v>
      </c>
      <c r="E23" s="3"/>
      <c r="F23" s="3"/>
      <c r="G23" s="3"/>
      <c r="H23" s="3"/>
      <c r="I23" s="3"/>
      <c r="J23" s="3"/>
      <c r="K23" s="3"/>
      <c r="L23" s="3"/>
      <c r="M23" s="3"/>
      <c r="N23" s="3"/>
      <c r="O23" s="3"/>
      <c r="P23" s="3"/>
      <c r="Q23" s="3"/>
      <c r="R23" s="3"/>
      <c r="S23" s="3"/>
      <c r="T23" s="3"/>
      <c r="U23" s="3"/>
      <c r="V23" s="3"/>
      <c r="W23" s="3"/>
      <c r="X23" s="3"/>
      <c r="Y23" s="3"/>
      <c r="Z23" s="3"/>
    </row>
    <row r="24" ht="17" spans="1:26">
      <c r="A24" s="3" t="str">
        <f>'PV Production'!A16</f>
        <v>Dec 2023</v>
      </c>
      <c r="B24" s="3">
        <f>'PV Production'!B16</f>
        <v>53252</v>
      </c>
      <c r="C24" s="3">
        <f>'PV Production'!G16</f>
        <v>36989.32</v>
      </c>
      <c r="D24" s="3">
        <f>'PV Production'!H16</f>
        <v>-16262.68</v>
      </c>
      <c r="E24" s="3"/>
      <c r="F24" s="3"/>
      <c r="G24" s="3"/>
      <c r="H24" s="3"/>
      <c r="I24" s="3"/>
      <c r="J24" s="3"/>
      <c r="K24" s="3"/>
      <c r="L24" s="3"/>
      <c r="M24" s="3"/>
      <c r="N24" s="3"/>
      <c r="O24" s="3"/>
      <c r="P24" s="3"/>
      <c r="Q24" s="3"/>
      <c r="R24" s="3"/>
      <c r="S24" s="3"/>
      <c r="T24" s="3"/>
      <c r="U24" s="3"/>
      <c r="V24" s="3"/>
      <c r="W24" s="3"/>
      <c r="X24" s="3"/>
      <c r="Y24" s="3"/>
      <c r="Z24" s="3"/>
    </row>
    <row r="25" ht="17" spans="1:26">
      <c r="A25" s="10" t="s">
        <v>224</v>
      </c>
      <c r="B25" s="10">
        <f>SUM(B13:B24)</f>
        <v>709501</v>
      </c>
      <c r="C25" s="10">
        <f>SUM(C13:C24)</f>
        <v>710207.514</v>
      </c>
      <c r="D25" s="10">
        <f>SUM(D13:D24)</f>
        <v>706.51400000001</v>
      </c>
      <c r="E25" s="3"/>
      <c r="F25" s="3"/>
      <c r="G25" s="3"/>
      <c r="H25" s="3"/>
      <c r="I25" s="3"/>
      <c r="J25" s="3"/>
      <c r="K25" s="3"/>
      <c r="L25" s="3"/>
      <c r="M25" s="3"/>
      <c r="N25" s="3"/>
      <c r="O25" s="3"/>
      <c r="P25" s="3"/>
      <c r="Q25" s="3"/>
      <c r="R25" s="3"/>
      <c r="S25" s="3"/>
      <c r="T25" s="3"/>
      <c r="U25" s="3"/>
      <c r="V25" s="3"/>
      <c r="W25" s="3"/>
      <c r="X25" s="3"/>
      <c r="Y25" s="3"/>
      <c r="Z25" s="3"/>
    </row>
    <row r="26"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sheetData>
  <mergeCells count="1">
    <mergeCell ref="A1:J1"/>
  </mergeCells>
  <pageMargins left="0.7" right="0.7" top="0.75" bottom="0.75" header="0.3" footer="0.3"/>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55"/>
  <sheetViews>
    <sheetView workbookViewId="0">
      <selection activeCell="B6" sqref="B6"/>
    </sheetView>
  </sheetViews>
  <sheetFormatPr defaultColWidth="9" defaultRowHeight="16.8"/>
  <cols>
    <col min="1" max="1" width="34" customWidth="1"/>
    <col min="2" max="3" width="16" customWidth="1"/>
    <col min="4" max="4" width="32" customWidth="1"/>
    <col min="5" max="5" width="16" customWidth="1"/>
    <col min="6" max="6" width="23" customWidth="1"/>
    <col min="7" max="14" width="16" customWidth="1"/>
  </cols>
  <sheetData>
    <row r="1" ht="23.2" spans="1:26">
      <c r="A1" s="2" t="s">
        <v>435</v>
      </c>
      <c r="B1" s="2"/>
      <c r="C1" s="2"/>
      <c r="D1" s="2"/>
      <c r="E1" s="2"/>
      <c r="F1" s="2"/>
      <c r="G1" s="2"/>
      <c r="H1" s="2"/>
      <c r="I1" s="2"/>
      <c r="J1" s="2"/>
      <c r="K1" s="3"/>
      <c r="L1" s="3"/>
      <c r="M1" s="3"/>
      <c r="N1" s="3"/>
      <c r="O1" s="3"/>
      <c r="P1" s="3"/>
      <c r="Q1" s="3"/>
      <c r="R1" s="3"/>
      <c r="S1" s="3"/>
      <c r="T1" s="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ht="68" spans="1:26">
      <c r="A3" s="4" t="s">
        <v>411</v>
      </c>
      <c r="B3" s="4"/>
      <c r="C3" s="3"/>
      <c r="D3" s="4" t="s">
        <v>436</v>
      </c>
      <c r="E3" s="4"/>
      <c r="F3" s="3"/>
      <c r="G3" s="4" t="s">
        <v>437</v>
      </c>
      <c r="H3" s="4" t="s">
        <v>438</v>
      </c>
      <c r="I3" s="3"/>
      <c r="J3" s="3"/>
      <c r="K3" s="3"/>
      <c r="L3" s="3"/>
      <c r="M3" s="3"/>
      <c r="N3" s="3"/>
      <c r="O3" s="3"/>
      <c r="P3" s="3"/>
      <c r="Q3" s="3"/>
      <c r="R3" s="3"/>
      <c r="S3" s="3"/>
      <c r="T3" s="3"/>
      <c r="U3" s="3"/>
      <c r="V3" s="3"/>
      <c r="W3" s="3"/>
      <c r="X3" s="3"/>
      <c r="Y3" s="3"/>
      <c r="Z3" s="3"/>
    </row>
    <row r="4" ht="34" spans="1:26">
      <c r="A4" s="3" t="s">
        <v>439</v>
      </c>
      <c r="B4" s="3" t="s">
        <v>440</v>
      </c>
      <c r="C4" s="3"/>
      <c r="D4" s="3" t="s">
        <v>441</v>
      </c>
      <c r="E4" s="14">
        <f>'2ESS Proposal'!B7*'Model Assumptions'!C18</f>
        <v>258048</v>
      </c>
      <c r="F4" s="3"/>
      <c r="G4" s="3" t="s">
        <v>442</v>
      </c>
      <c r="H4" s="3">
        <f>SUMPRODUCT(($J$13:$J$24&gt;=0)*($J$13:$J$24&lt;0.2)*$K$13:$K$24)</f>
        <v>274</v>
      </c>
      <c r="I4" s="3"/>
      <c r="J4" s="3"/>
      <c r="K4" s="3"/>
      <c r="L4" s="3"/>
      <c r="M4" s="3"/>
      <c r="N4" s="3"/>
      <c r="O4" s="3"/>
      <c r="P4" s="3"/>
      <c r="Q4" s="3"/>
      <c r="R4" s="3"/>
      <c r="S4" s="3"/>
      <c r="T4" s="3"/>
      <c r="U4" s="3"/>
      <c r="V4" s="3"/>
      <c r="W4" s="3"/>
      <c r="X4" s="3"/>
      <c r="Y4" s="3"/>
      <c r="Z4" s="3"/>
    </row>
    <row r="5" ht="17" spans="1:26">
      <c r="A5" s="3" t="s">
        <v>443</v>
      </c>
      <c r="B5" s="3">
        <v>215.04</v>
      </c>
      <c r="C5" s="3"/>
      <c r="D5" s="3" t="s">
        <v>421</v>
      </c>
      <c r="E5" s="14">
        <f>-E4*'3Rebates Incentives'!E4</f>
        <v>-77414.4</v>
      </c>
      <c r="F5" s="3"/>
      <c r="G5" s="3" t="s">
        <v>444</v>
      </c>
      <c r="H5" s="3">
        <f>SUMPRODUCT(($J$13:$J$24&gt;=0.2)*($J$13:$J$24&lt;0.4)*$K$13:$K$24)</f>
        <v>63</v>
      </c>
      <c r="I5" s="3"/>
      <c r="J5" s="3"/>
      <c r="K5" s="3"/>
      <c r="L5" s="3"/>
      <c r="M5" s="3"/>
      <c r="N5" s="3"/>
      <c r="O5" s="3"/>
      <c r="P5" s="3"/>
      <c r="Q5" s="3"/>
      <c r="R5" s="3"/>
      <c r="S5" s="3"/>
      <c r="T5" s="3"/>
      <c r="U5" s="3"/>
      <c r="V5" s="3"/>
      <c r="W5" s="3"/>
      <c r="X5" s="3"/>
      <c r="Y5" s="3"/>
      <c r="Z5" s="3"/>
    </row>
    <row r="6" ht="34" spans="1:26">
      <c r="A6" s="3" t="s">
        <v>445</v>
      </c>
      <c r="B6" s="3">
        <v>2</v>
      </c>
      <c r="C6" s="3"/>
      <c r="D6" s="3" t="s">
        <v>424</v>
      </c>
      <c r="E6" s="14">
        <f>-E4*(1-0.5*'3Rebates Incentives'!E4)*'3Rebates Incentives'!E5</f>
        <v>-65802.24</v>
      </c>
      <c r="F6" s="3"/>
      <c r="G6" s="3" t="s">
        <v>446</v>
      </c>
      <c r="H6" s="3">
        <f>SUMPRODUCT(($J$13:$J$24&gt;=0.4)*($J$13:$J$24&lt;0.6)*$K$13:$K$24)</f>
        <v>29</v>
      </c>
      <c r="I6" s="3"/>
      <c r="J6" s="3"/>
      <c r="K6" s="3"/>
      <c r="L6" s="3"/>
      <c r="M6" s="3"/>
      <c r="N6" s="3"/>
      <c r="O6" s="3"/>
      <c r="P6" s="3"/>
      <c r="Q6" s="3"/>
      <c r="R6" s="3"/>
      <c r="S6" s="3"/>
      <c r="T6" s="3"/>
      <c r="U6" s="3"/>
      <c r="V6" s="3"/>
      <c r="W6" s="3"/>
      <c r="X6" s="3"/>
      <c r="Y6" s="3"/>
      <c r="Z6" s="3"/>
    </row>
    <row r="7" ht="34" spans="1:26">
      <c r="A7" s="3" t="s">
        <v>447</v>
      </c>
      <c r="B7" s="3">
        <v>430.08</v>
      </c>
      <c r="C7" s="3"/>
      <c r="D7" s="3" t="s">
        <v>427</v>
      </c>
      <c r="E7" s="14">
        <f>-E4*'3Rebates Incentives'!E6</f>
        <v>-20643.84</v>
      </c>
      <c r="F7" s="3"/>
      <c r="G7" s="3" t="s">
        <v>448</v>
      </c>
      <c r="H7" s="3">
        <f>SUMPRODUCT(($J$13:$J$24&gt;=0.6)*($J$13:$J$24&lt;0.8)*$K$13:$K$24)</f>
        <v>0</v>
      </c>
      <c r="I7" s="3"/>
      <c r="J7" s="3"/>
      <c r="K7" s="3"/>
      <c r="L7" s="3"/>
      <c r="M7" s="3"/>
      <c r="N7" s="3"/>
      <c r="O7" s="3"/>
      <c r="P7" s="3"/>
      <c r="Q7" s="3"/>
      <c r="R7" s="3"/>
      <c r="S7" s="3"/>
      <c r="T7" s="3"/>
      <c r="U7" s="3"/>
      <c r="V7" s="3"/>
      <c r="W7" s="3"/>
      <c r="X7" s="3"/>
      <c r="Y7" s="3"/>
      <c r="Z7" s="3"/>
    </row>
    <row r="8" ht="17" spans="1:26">
      <c r="A8" s="3" t="s">
        <v>449</v>
      </c>
      <c r="B8" s="3">
        <v>200</v>
      </c>
      <c r="C8" s="3"/>
      <c r="D8" s="3" t="s">
        <v>450</v>
      </c>
      <c r="E8" s="14">
        <f>SUM(E4:E7)</f>
        <v>94187.52</v>
      </c>
      <c r="F8" s="3"/>
      <c r="G8" s="3" t="s">
        <v>451</v>
      </c>
      <c r="H8" s="3">
        <f>SUMPRODUCT(($J$13:$J$24&gt;=0.8)*($J$13:$J$24&lt;=1)*$K$13:$K$24)</f>
        <v>0</v>
      </c>
      <c r="I8" s="3"/>
      <c r="J8" s="3"/>
      <c r="K8" s="3"/>
      <c r="L8" s="3"/>
      <c r="M8" s="3"/>
      <c r="N8" s="3"/>
      <c r="O8" s="3"/>
      <c r="P8" s="3"/>
      <c r="Q8" s="3"/>
      <c r="R8" s="3"/>
      <c r="S8" s="3"/>
      <c r="T8" s="3"/>
      <c r="U8" s="3"/>
      <c r="V8" s="3"/>
      <c r="W8" s="3"/>
      <c r="X8" s="3"/>
      <c r="Y8" s="3"/>
      <c r="Z8" s="3"/>
    </row>
    <row r="9" ht="34" spans="1:26">
      <c r="A9" s="3" t="s">
        <v>452</v>
      </c>
      <c r="B9" s="3">
        <v>215.04</v>
      </c>
      <c r="C9" s="3"/>
      <c r="D9" s="3"/>
      <c r="E9" s="3"/>
      <c r="F9" s="3"/>
      <c r="G9" s="3" t="s">
        <v>453</v>
      </c>
      <c r="H9" s="3">
        <v>0</v>
      </c>
      <c r="I9" s="3"/>
      <c r="J9" s="3"/>
      <c r="K9" s="3"/>
      <c r="L9" s="3"/>
      <c r="M9" s="3"/>
      <c r="N9" s="3"/>
      <c r="O9" s="3"/>
      <c r="P9" s="3"/>
      <c r="Q9" s="3"/>
      <c r="R9" s="3"/>
      <c r="S9" s="3"/>
      <c r="T9" s="3"/>
      <c r="U9" s="3"/>
      <c r="V9" s="3"/>
      <c r="W9" s="3"/>
      <c r="X9" s="3"/>
      <c r="Y9" s="3"/>
      <c r="Z9" s="3"/>
    </row>
    <row r="10" ht="17" spans="1:26">
      <c r="A10" s="3" t="s">
        <v>454</v>
      </c>
      <c r="B10" s="3">
        <v>100</v>
      </c>
      <c r="C10" s="3"/>
      <c r="D10" s="3"/>
      <c r="E10" s="3"/>
      <c r="F10" s="3"/>
      <c r="G10" s="3"/>
      <c r="H10" s="3"/>
      <c r="I10" s="3"/>
      <c r="J10" s="3"/>
      <c r="K10" s="3"/>
      <c r="L10" s="3"/>
      <c r="M10" s="3"/>
      <c r="N10" s="3"/>
      <c r="O10" s="3"/>
      <c r="P10" s="3"/>
      <c r="Q10" s="3"/>
      <c r="R10" s="3"/>
      <c r="S10" s="3"/>
      <c r="T10" s="3"/>
      <c r="U10" s="3"/>
      <c r="V10" s="3"/>
      <c r="W10" s="3"/>
      <c r="X10" s="3"/>
      <c r="Y10" s="3"/>
      <c r="Z10" s="3"/>
    </row>
    <row r="11" ht="51" spans="1:26">
      <c r="A11" s="3" t="s">
        <v>455</v>
      </c>
      <c r="B11" s="3" t="s">
        <v>456</v>
      </c>
      <c r="C11" s="3"/>
      <c r="D11" s="3"/>
      <c r="E11" s="3"/>
      <c r="F11" s="3"/>
      <c r="G11" s="3"/>
      <c r="H11" s="3"/>
      <c r="I11" s="3"/>
      <c r="J11" s="3"/>
      <c r="K11" s="3"/>
      <c r="L11" s="3"/>
      <c r="M11" s="3"/>
      <c r="N11" s="3"/>
      <c r="O11" s="3"/>
      <c r="P11" s="3"/>
      <c r="Q11" s="3"/>
      <c r="R11" s="3"/>
      <c r="S11" s="3"/>
      <c r="T11" s="3"/>
      <c r="U11" s="3"/>
      <c r="V11" s="3"/>
      <c r="W11" s="3"/>
      <c r="X11" s="3"/>
      <c r="Y11" s="3"/>
      <c r="Z11" s="3"/>
    </row>
    <row r="12" ht="34" spans="1:26">
      <c r="A12" s="43" t="s">
        <v>457</v>
      </c>
      <c r="B12" s="43"/>
      <c r="C12" s="43"/>
      <c r="D12" s="43"/>
      <c r="E12" s="43"/>
      <c r="F12" s="44"/>
      <c r="G12" s="3"/>
      <c r="H12" s="3"/>
      <c r="I12" s="3"/>
      <c r="J12" s="3" t="s">
        <v>458</v>
      </c>
      <c r="K12" s="3" t="s">
        <v>459</v>
      </c>
      <c r="L12" s="3"/>
      <c r="M12" s="3"/>
      <c r="N12" s="3"/>
      <c r="O12" s="3"/>
      <c r="P12" s="3"/>
      <c r="Q12" s="3"/>
      <c r="R12" s="3"/>
      <c r="S12" s="3"/>
      <c r="T12" s="3"/>
      <c r="U12" s="3"/>
      <c r="V12" s="3"/>
      <c r="W12" s="3"/>
      <c r="X12" s="3"/>
      <c r="Y12" s="3"/>
      <c r="Z12" s="3"/>
    </row>
    <row r="13" ht="34" spans="1:26">
      <c r="A13" s="4" t="s">
        <v>213</v>
      </c>
      <c r="B13" s="4" t="s">
        <v>460</v>
      </c>
      <c r="C13" s="4" t="s">
        <v>461</v>
      </c>
      <c r="D13" s="4" t="s">
        <v>462</v>
      </c>
      <c r="E13" s="4" t="s">
        <v>463</v>
      </c>
      <c r="F13" s="4" t="s">
        <v>464</v>
      </c>
      <c r="G13" s="3"/>
      <c r="H13" s="3"/>
      <c r="I13" s="3"/>
      <c r="J13" s="12">
        <f>'PV-ESS Energy Flow'!K4/('PV-ESS Energy Flow'!B4*'PV-ESS Energy Flow'!H4)</f>
        <v>0.176106432959503</v>
      </c>
      <c r="K13" s="3">
        <f>'PV-ESS Energy Flow'!B4</f>
        <v>33</v>
      </c>
      <c r="L13" s="3"/>
      <c r="M13" s="3"/>
      <c r="N13" s="3"/>
      <c r="O13" s="3"/>
      <c r="P13" s="3"/>
      <c r="Q13" s="3"/>
      <c r="R13" s="3"/>
      <c r="S13" s="3"/>
      <c r="T13" s="3"/>
      <c r="U13" s="3"/>
      <c r="V13" s="3"/>
      <c r="W13" s="3"/>
      <c r="X13" s="3"/>
      <c r="Y13" s="3"/>
      <c r="Z13" s="3"/>
    </row>
    <row r="14" ht="17" spans="1:26">
      <c r="A14" s="3" t="str">
        <f>'PV-ESS Energy Flow'!A4</f>
        <v>Jan</v>
      </c>
      <c r="B14" s="3">
        <f>'PV-ESS Energy Flow'!K4</f>
        <v>2137</v>
      </c>
      <c r="C14" s="3">
        <f>'PV-ESS Energy Flow'!D4</f>
        <v>43391.64</v>
      </c>
      <c r="D14" s="12">
        <f>'PV-ESS Energy Flow'!L4</f>
        <v>0.0492491180328745</v>
      </c>
      <c r="E14" s="14">
        <f>'PV-ESS Energy Flow'!O4</f>
        <v>2643.67396946565</v>
      </c>
      <c r="F14" s="14">
        <f>'PV-ESS Energy Flow'!W4</f>
        <v>340.966798810957</v>
      </c>
      <c r="G14" s="3"/>
      <c r="H14" s="3"/>
      <c r="I14" s="3"/>
      <c r="J14" s="12">
        <f>'PV-ESS Energy Flow'!K5/('PV-ESS Energy Flow'!B5*'PV-ESS Energy Flow'!H5)</f>
        <v>0.163349635663232</v>
      </c>
      <c r="K14" s="3">
        <f>'PV-ESS Energy Flow'!B5</f>
        <v>30</v>
      </c>
      <c r="L14" s="3"/>
      <c r="M14" s="3"/>
      <c r="N14" s="3"/>
      <c r="O14" s="3"/>
      <c r="P14" s="3"/>
      <c r="Q14" s="3"/>
      <c r="R14" s="3"/>
      <c r="S14" s="3"/>
      <c r="T14" s="3"/>
      <c r="U14" s="3"/>
      <c r="V14" s="3"/>
      <c r="W14" s="3"/>
      <c r="X14" s="3"/>
      <c r="Y14" s="3"/>
      <c r="Z14" s="3"/>
    </row>
    <row r="15" ht="17" spans="1:26">
      <c r="A15" s="3" t="str">
        <f>'PV-ESS Energy Flow'!A5</f>
        <v>Feb</v>
      </c>
      <c r="B15" s="3">
        <f>'PV-ESS Energy Flow'!K5</f>
        <v>1802</v>
      </c>
      <c r="C15" s="3">
        <f>'PV-ESS Energy Flow'!D5</f>
        <v>46834.144</v>
      </c>
      <c r="D15" s="12">
        <f>'PV-ESS Energy Flow'!L5</f>
        <v>0.0384762023194018</v>
      </c>
      <c r="E15" s="14">
        <f>'PV-ESS Energy Flow'!O5</f>
        <v>2702.971875</v>
      </c>
      <c r="F15" s="14">
        <f>'PV-ESS Energy Flow'!W5</f>
        <v>271.361093734917</v>
      </c>
      <c r="G15" s="3"/>
      <c r="H15" s="3"/>
      <c r="I15" s="3"/>
      <c r="J15" s="12">
        <f>'PV-ESS Energy Flow'!K6/('PV-ESS Energy Flow'!B6*'PV-ESS Energy Flow'!H6)</f>
        <v>0.134754540806038</v>
      </c>
      <c r="K15" s="3">
        <f>'PV-ESS Energy Flow'!B6</f>
        <v>29</v>
      </c>
      <c r="L15" s="3"/>
      <c r="M15" s="3"/>
      <c r="N15" s="3"/>
      <c r="O15" s="3"/>
      <c r="P15" s="3"/>
      <c r="Q15" s="3"/>
      <c r="R15" s="3"/>
      <c r="S15" s="3"/>
      <c r="T15" s="3"/>
      <c r="U15" s="3"/>
      <c r="V15" s="3"/>
      <c r="W15" s="3"/>
      <c r="X15" s="3"/>
      <c r="Y15" s="3"/>
      <c r="Z15" s="3"/>
    </row>
    <row r="16" ht="17" spans="1:26">
      <c r="A16" s="3" t="str">
        <f>'PV-ESS Energy Flow'!A6</f>
        <v>Mar</v>
      </c>
      <c r="B16" s="3">
        <f>'PV-ESS Energy Flow'!K6</f>
        <v>1437</v>
      </c>
      <c r="C16" s="3">
        <f>'PV-ESS Energy Flow'!D6</f>
        <v>61748.868</v>
      </c>
      <c r="D16" s="12">
        <f>'PV-ESS Energy Flow'!L6</f>
        <v>0.0232716816768204</v>
      </c>
      <c r="E16" s="14">
        <f>'PV-ESS Energy Flow'!O6</f>
        <v>3303.27623529412</v>
      </c>
      <c r="F16" s="14">
        <f>'PV-ESS Energy Flow'!W6</f>
        <v>0</v>
      </c>
      <c r="G16" s="3"/>
      <c r="H16" s="3"/>
      <c r="I16" s="3"/>
      <c r="J16" s="12">
        <f>'PV-ESS Energy Flow'!K7/('PV-ESS Energy Flow'!B7*'PV-ESS Energy Flow'!H7)</f>
        <v>0.111923281511069</v>
      </c>
      <c r="K16" s="3">
        <f>'PV-ESS Energy Flow'!B7</f>
        <v>32</v>
      </c>
      <c r="L16" s="3"/>
      <c r="M16" s="3"/>
      <c r="N16" s="3"/>
      <c r="O16" s="3"/>
      <c r="P16" s="3"/>
      <c r="Q16" s="3"/>
      <c r="R16" s="3"/>
      <c r="S16" s="3"/>
      <c r="T16" s="3"/>
      <c r="U16" s="3"/>
      <c r="V16" s="3"/>
      <c r="W16" s="3"/>
      <c r="X16" s="3"/>
      <c r="Y16" s="3"/>
      <c r="Z16" s="3"/>
    </row>
    <row r="17" ht="17" spans="1:26">
      <c r="A17" s="3" t="str">
        <f>'PV-ESS Energy Flow'!A7</f>
        <v>Apr</v>
      </c>
      <c r="B17" s="3">
        <f>'PV-ESS Energy Flow'!K7</f>
        <v>1317</v>
      </c>
      <c r="C17" s="3">
        <f>'PV-ESS Energy Flow'!D7</f>
        <v>69502.882</v>
      </c>
      <c r="D17" s="12">
        <f>'PV-ESS Energy Flow'!L7</f>
        <v>0.0189488545237592</v>
      </c>
      <c r="E17" s="14">
        <f>'PV-ESS Energy Flow'!O7</f>
        <v>3210.75665158371</v>
      </c>
      <c r="F17" s="14">
        <f>'PV-ESS Energy Flow'!W7</f>
        <v>0</v>
      </c>
      <c r="G17" s="3"/>
      <c r="H17" s="3"/>
      <c r="I17" s="3"/>
      <c r="J17" s="12">
        <f>'PV-ESS Energy Flow'!K8/('PV-ESS Energy Flow'!B8*'PV-ESS Energy Flow'!H8)</f>
        <v>0.120047101812077</v>
      </c>
      <c r="K17" s="3">
        <f>'PV-ESS Energy Flow'!B8</f>
        <v>29</v>
      </c>
      <c r="L17" s="3"/>
      <c r="M17" s="3"/>
      <c r="N17" s="3"/>
      <c r="O17" s="3"/>
      <c r="P17" s="3"/>
      <c r="Q17" s="3"/>
      <c r="R17" s="3"/>
      <c r="S17" s="3"/>
      <c r="T17" s="3"/>
      <c r="U17" s="3"/>
      <c r="V17" s="3"/>
      <c r="W17" s="3"/>
      <c r="X17" s="3"/>
      <c r="Y17" s="3"/>
      <c r="Z17" s="3"/>
    </row>
    <row r="18" ht="17" spans="1:26">
      <c r="A18" s="3" t="str">
        <f>'PV-ESS Energy Flow'!A8</f>
        <v>May</v>
      </c>
      <c r="B18" s="3">
        <f>'PV-ESS Energy Flow'!K8</f>
        <v>1280.16231788625</v>
      </c>
      <c r="C18" s="3">
        <f>'PV-ESS Energy Flow'!D8</f>
        <v>76926.724</v>
      </c>
      <c r="D18" s="12">
        <f>'PV-ESS Energy Flow'!L8</f>
        <v>0.0166413211342036</v>
      </c>
      <c r="E18" s="14">
        <f>'PV-ESS Energy Flow'!O8</f>
        <v>3091.30180257511</v>
      </c>
      <c r="F18" s="14">
        <f>'PV-ESS Energy Flow'!W8</f>
        <v>0</v>
      </c>
      <c r="G18" s="3"/>
      <c r="H18" s="3"/>
      <c r="I18" s="3"/>
      <c r="J18" s="12">
        <f>'PV-ESS Energy Flow'!K9/('PV-ESS Energy Flow'!B9*'PV-ESS Energy Flow'!H9)</f>
        <v>0.181388801865776</v>
      </c>
      <c r="K18" s="3">
        <f>'PV-ESS Energy Flow'!B9</f>
        <v>30</v>
      </c>
      <c r="L18" s="3"/>
      <c r="M18" s="3"/>
      <c r="N18" s="3"/>
      <c r="O18" s="3"/>
      <c r="P18" s="3"/>
      <c r="Q18" s="3"/>
      <c r="R18" s="3"/>
      <c r="S18" s="3"/>
      <c r="T18" s="3"/>
      <c r="U18" s="3"/>
      <c r="V18" s="3"/>
      <c r="W18" s="3"/>
      <c r="X18" s="3"/>
      <c r="Y18" s="3"/>
      <c r="Z18" s="3"/>
    </row>
    <row r="19" ht="17" spans="1:26">
      <c r="A19" s="3" t="str">
        <f>'PV-ESS Energy Flow'!A9</f>
        <v>Jun</v>
      </c>
      <c r="B19" s="3">
        <f>'PV-ESS Energy Flow'!K9</f>
        <v>2001</v>
      </c>
      <c r="C19" s="3">
        <f>'PV-ESS Energy Flow'!D9</f>
        <v>76305.766</v>
      </c>
      <c r="D19" s="12">
        <f>'PV-ESS Energy Flow'!L9</f>
        <v>0.0262234442414221</v>
      </c>
      <c r="E19" s="14">
        <f>'PV-ESS Energy Flow'!O9</f>
        <v>3039.46492569002</v>
      </c>
      <c r="F19" s="14">
        <f>'PV-ESS Energy Flow'!W9</f>
        <v>0</v>
      </c>
      <c r="G19" s="3"/>
      <c r="H19" s="3"/>
      <c r="I19" s="3"/>
      <c r="J19" s="12">
        <f>'PV-ESS Energy Flow'!K10/('PV-ESS Energy Flow'!B10*'PV-ESS Energy Flow'!H10)</f>
        <v>0.230578287047585</v>
      </c>
      <c r="K19" s="3">
        <f>'PV-ESS Energy Flow'!B10</f>
        <v>33</v>
      </c>
      <c r="L19" s="3"/>
      <c r="M19" s="3"/>
      <c r="N19" s="3"/>
      <c r="O19" s="3"/>
      <c r="P19" s="3"/>
      <c r="Q19" s="3"/>
      <c r="R19" s="3"/>
      <c r="S19" s="3"/>
      <c r="T19" s="3"/>
      <c r="U19" s="3"/>
      <c r="V19" s="3"/>
      <c r="W19" s="3"/>
      <c r="X19" s="3"/>
      <c r="Y19" s="3"/>
      <c r="Z19" s="3"/>
    </row>
    <row r="20" ht="17" spans="1:26">
      <c r="A20" s="3" t="str">
        <f>'PV-ESS Energy Flow'!A10</f>
        <v>Jul</v>
      </c>
      <c r="B20" s="3">
        <f>'PV-ESS Energy Flow'!K10</f>
        <v>2798</v>
      </c>
      <c r="C20" s="3">
        <f>'PV-ESS Energy Flow'!D10</f>
        <v>70470.772</v>
      </c>
      <c r="D20" s="12">
        <f>'PV-ESS Energy Flow'!L10</f>
        <v>0.0397044039761619</v>
      </c>
      <c r="E20" s="14">
        <f>'PV-ESS Energy Flow'!O10</f>
        <v>3690.6724137931</v>
      </c>
      <c r="F20" s="14">
        <f>'PV-ESS Energy Flow'!W10</f>
        <v>1403.16391565402</v>
      </c>
      <c r="G20" s="3"/>
      <c r="H20" s="3"/>
      <c r="I20" s="3"/>
      <c r="J20" s="12">
        <f>'PV-ESS Energy Flow'!K11/('PV-ESS Energy Flow'!B11*'PV-ESS Energy Flow'!H11)</f>
        <v>0.517918809235733</v>
      </c>
      <c r="K20" s="3">
        <f>'PV-ESS Energy Flow'!B11</f>
        <v>29</v>
      </c>
      <c r="L20" s="3"/>
      <c r="M20" s="3"/>
      <c r="N20" s="3"/>
      <c r="O20" s="3"/>
      <c r="P20" s="3"/>
      <c r="Q20" s="3"/>
      <c r="R20" s="3"/>
      <c r="S20" s="3"/>
      <c r="T20" s="3"/>
      <c r="U20" s="3"/>
      <c r="V20" s="3"/>
      <c r="W20" s="3"/>
      <c r="X20" s="3"/>
      <c r="Y20" s="3"/>
      <c r="Z20" s="3"/>
    </row>
    <row r="21" ht="17" spans="1:26">
      <c r="A21" s="3" t="str">
        <f>'PV-ESS Energy Flow'!A11</f>
        <v>Aug</v>
      </c>
      <c r="B21" s="3">
        <f>'PV-ESS Energy Flow'!K11</f>
        <v>5523</v>
      </c>
      <c r="C21" s="3">
        <f>'PV-ESS Energy Flow'!D11</f>
        <v>69633.61</v>
      </c>
      <c r="D21" s="12">
        <f>'PV-ESS Energy Flow'!L11</f>
        <v>0.0793151468091343</v>
      </c>
      <c r="E21" s="14">
        <f>'PV-ESS Energy Flow'!O11</f>
        <v>4235.22340425532</v>
      </c>
      <c r="F21" s="14">
        <f>'PV-ESS Energy Flow'!W11</f>
        <v>1352.61778224218</v>
      </c>
      <c r="G21" s="3"/>
      <c r="H21" s="3"/>
      <c r="I21" s="3"/>
      <c r="J21" s="12">
        <f>'PV-ESS Energy Flow'!K12/('PV-ESS Energy Flow'!B12*'PV-ESS Energy Flow'!H12)</f>
        <v>0.399853075976979</v>
      </c>
      <c r="K21" s="3">
        <f>'PV-ESS Energy Flow'!B12</f>
        <v>30</v>
      </c>
      <c r="L21" s="3"/>
      <c r="M21" s="3"/>
      <c r="N21" s="3"/>
      <c r="O21" s="3"/>
      <c r="P21" s="3"/>
      <c r="Q21" s="3"/>
      <c r="R21" s="3"/>
      <c r="S21" s="3"/>
      <c r="T21" s="3"/>
      <c r="U21" s="3"/>
      <c r="V21" s="3"/>
      <c r="W21" s="3"/>
      <c r="X21" s="3"/>
      <c r="Y21" s="3"/>
      <c r="Z21" s="3"/>
    </row>
    <row r="22" ht="17" spans="1:26">
      <c r="A22" s="3" t="str">
        <f>'PV-ESS Energy Flow'!A12</f>
        <v>Sep</v>
      </c>
      <c r="B22" s="3">
        <f>'PV-ESS Energy Flow'!K12</f>
        <v>4411</v>
      </c>
      <c r="C22" s="3">
        <f>'PV-ESS Energy Flow'!D12</f>
        <v>60646.06</v>
      </c>
      <c r="D22" s="12">
        <f>'PV-ESS Energy Flow'!L12</f>
        <v>0.0727334966195661</v>
      </c>
      <c r="E22" s="14">
        <f>'PV-ESS Energy Flow'!O12</f>
        <v>4789.6301369863</v>
      </c>
      <c r="F22" s="14">
        <f>'PV-ESS Energy Flow'!W12</f>
        <v>1041.53359235597</v>
      </c>
      <c r="G22" s="3"/>
      <c r="H22" s="3"/>
      <c r="I22" s="3"/>
      <c r="J22" s="12">
        <f>'PV-ESS Energy Flow'!K13/('PV-ESS Energy Flow'!B13*'PV-ESS Energy Flow'!H13)</f>
        <v>0.15951111615245</v>
      </c>
      <c r="K22" s="3">
        <f>'PV-ESS Energy Flow'!B13</f>
        <v>29</v>
      </c>
      <c r="L22" s="3"/>
      <c r="M22" s="3"/>
      <c r="N22" s="3"/>
      <c r="O22" s="3"/>
      <c r="P22" s="3"/>
      <c r="Q22" s="3"/>
      <c r="R22" s="3"/>
      <c r="S22" s="3"/>
      <c r="T22" s="3"/>
      <c r="U22" s="3"/>
      <c r="V22" s="3"/>
      <c r="W22" s="3"/>
      <c r="X22" s="3"/>
      <c r="Y22" s="3"/>
      <c r="Z22" s="3"/>
    </row>
    <row r="23" ht="17" spans="1:26">
      <c r="A23" s="3" t="str">
        <f>'PV-ESS Energy Flow'!A13</f>
        <v>Oct</v>
      </c>
      <c r="B23" s="3">
        <f>'PV-ESS Energy Flow'!K13</f>
        <v>1701</v>
      </c>
      <c r="C23" s="3">
        <f>'PV-ESS Energy Flow'!D13</f>
        <v>54977.828</v>
      </c>
      <c r="D23" s="12">
        <f>'PV-ESS Energy Flow'!L13</f>
        <v>0.0309397453824476</v>
      </c>
      <c r="E23" s="14">
        <f>'PV-ESS Energy Flow'!O13</f>
        <v>2887.84984180445</v>
      </c>
      <c r="F23" s="14">
        <f>'PV-ESS Energy Flow'!W13</f>
        <v>0</v>
      </c>
      <c r="G23" s="3"/>
      <c r="H23" s="3"/>
      <c r="I23" s="3"/>
      <c r="J23" s="12">
        <f>'PV-ESS Energy Flow'!K14/('PV-ESS Energy Flow'!B14*'PV-ESS Energy Flow'!H14)</f>
        <v>0.140562724084517</v>
      </c>
      <c r="K23" s="3">
        <f>'PV-ESS Energy Flow'!B14</f>
        <v>32</v>
      </c>
      <c r="L23" s="3"/>
      <c r="M23" s="3"/>
      <c r="N23" s="3"/>
      <c r="O23" s="3"/>
      <c r="P23" s="3"/>
      <c r="Q23" s="3"/>
      <c r="R23" s="3"/>
      <c r="S23" s="3"/>
      <c r="T23" s="3"/>
      <c r="U23" s="3"/>
      <c r="V23" s="3"/>
      <c r="W23" s="3"/>
      <c r="X23" s="3"/>
      <c r="Y23" s="3"/>
      <c r="Z23" s="3"/>
    </row>
    <row r="24" ht="17" spans="1:26">
      <c r="A24" s="3" t="str">
        <f>'PV-ESS Energy Flow'!A14</f>
        <v>Nov</v>
      </c>
      <c r="B24" s="3">
        <f>'PV-ESS Energy Flow'!K14</f>
        <v>1654</v>
      </c>
      <c r="C24" s="3">
        <f>'PV-ESS Energy Flow'!D14</f>
        <v>42779.9</v>
      </c>
      <c r="D24" s="12">
        <f>'PV-ESS Energy Flow'!L14</f>
        <v>0.0386630169775993</v>
      </c>
      <c r="E24" s="14">
        <f>'PV-ESS Energy Flow'!O14</f>
        <v>2623.63003215434</v>
      </c>
      <c r="F24" s="14">
        <f>'PV-ESS Energy Flow'!W14</f>
        <v>270.641702082673</v>
      </c>
      <c r="G24" s="3"/>
      <c r="H24" s="3"/>
      <c r="I24" s="3"/>
      <c r="J24" s="12">
        <f>'PV-ESS Energy Flow'!K15/('PV-ESS Energy Flow'!B15*'PV-ESS Energy Flow'!H15)</f>
        <v>0.183473730622853</v>
      </c>
      <c r="K24" s="3">
        <f>'PV-ESS Energy Flow'!B15</f>
        <v>30</v>
      </c>
      <c r="L24" s="3"/>
      <c r="M24" s="3"/>
      <c r="N24" s="3"/>
      <c r="O24" s="3"/>
      <c r="P24" s="3"/>
      <c r="Q24" s="3"/>
      <c r="R24" s="3"/>
      <c r="S24" s="3"/>
      <c r="T24" s="3"/>
      <c r="U24" s="3"/>
      <c r="V24" s="3"/>
      <c r="W24" s="3"/>
      <c r="X24" s="3"/>
      <c r="Y24" s="3"/>
      <c r="Z24" s="3"/>
    </row>
    <row r="25" ht="17" spans="1:26">
      <c r="A25" s="3" t="str">
        <f>'PV-ESS Energy Flow'!A15</f>
        <v>Dec</v>
      </c>
      <c r="B25" s="3">
        <f>'PV-ESS Energy Flow'!K15</f>
        <v>2024</v>
      </c>
      <c r="C25" s="3">
        <f>'PV-ESS Energy Flow'!D15</f>
        <v>36989.32</v>
      </c>
      <c r="D25" s="12">
        <f>'PV-ESS Energy Flow'!L15</f>
        <v>0.0547184971229533</v>
      </c>
      <c r="E25" s="14">
        <f>'PV-ESS Energy Flow'!O15</f>
        <v>3154.30214424951</v>
      </c>
      <c r="F25" s="14">
        <f>'PV-ESS Energy Flow'!W15</f>
        <v>332.3537729346</v>
      </c>
      <c r="G25" s="3"/>
      <c r="H25" s="3"/>
      <c r="I25" s="3"/>
      <c r="J25" s="12">
        <f>SUMPRODUCT(J13:J24,K13:K24)/SUM(K13:K24)</f>
        <v>0.208679838074701</v>
      </c>
      <c r="K25" s="3">
        <f>SUM(K13:K24)</f>
        <v>366</v>
      </c>
      <c r="L25" s="3"/>
      <c r="M25" s="3"/>
      <c r="N25" s="3"/>
      <c r="O25" s="3"/>
      <c r="P25" s="3"/>
      <c r="Q25" s="3"/>
      <c r="R25" s="3"/>
      <c r="S25" s="3"/>
      <c r="T25" s="3"/>
      <c r="U25" s="3"/>
      <c r="V25" s="3"/>
      <c r="W25" s="3"/>
      <c r="X25" s="3"/>
      <c r="Y25" s="3"/>
      <c r="Z25" s="3"/>
    </row>
    <row r="26" ht="17" spans="1:26">
      <c r="A26" s="10" t="s">
        <v>465</v>
      </c>
      <c r="B26" s="10">
        <f>'PV-ESS Energy Flow'!K16</f>
        <v>28085.1623178863</v>
      </c>
      <c r="C26" s="10">
        <f>'PV-ESS Energy Flow'!D16</f>
        <v>710207.514</v>
      </c>
      <c r="D26" s="13">
        <f>'PV-ESS Energy Flow'!L16</f>
        <v>0.0395450086971148</v>
      </c>
      <c r="E26" s="15">
        <f>'PV-ESS Energy Flow'!O16</f>
        <v>39372.7534328516</v>
      </c>
      <c r="F26" s="14">
        <f>'PV-ESS Energy Flow'!W16</f>
        <v>5012.63865781531</v>
      </c>
      <c r="G26" s="3"/>
      <c r="H26" s="3"/>
      <c r="I26" s="3"/>
      <c r="J26" s="3"/>
      <c r="K26" s="3"/>
      <c r="L26" s="3"/>
      <c r="M26" s="3"/>
      <c r="N26" s="3"/>
      <c r="O26" s="3"/>
      <c r="P26" s="3"/>
      <c r="Q26" s="3"/>
      <c r="R26" s="3"/>
      <c r="S26" s="3"/>
      <c r="T26" s="3"/>
      <c r="U26" s="3"/>
      <c r="V26" s="3"/>
      <c r="W26" s="3"/>
      <c r="X26" s="3"/>
      <c r="Y26" s="3"/>
      <c r="Z26" s="3"/>
    </row>
    <row r="27"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sheetData>
  <mergeCells count="2">
    <mergeCell ref="A1:J1"/>
    <mergeCell ref="A12:E12"/>
  </mergeCells>
  <pageMargins left="0.7" right="0.7" top="0.75" bottom="0.75" header="0.3" footer="0.3"/>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0"/>
  <sheetViews>
    <sheetView workbookViewId="0">
      <selection activeCell="A4" sqref="A4"/>
    </sheetView>
  </sheetViews>
  <sheetFormatPr defaultColWidth="9" defaultRowHeight="16.8"/>
  <cols>
    <col min="1" max="1" width="38" customWidth="1"/>
    <col min="2" max="2" width="18" customWidth="1"/>
    <col min="3" max="10" width="14" customWidth="1"/>
    <col min="11" max="11" width="20" customWidth="1"/>
    <col min="12" max="14" width="16" customWidth="1"/>
  </cols>
  <sheetData>
    <row r="1" ht="22" spans="1:14">
      <c r="A1" s="19" t="s">
        <v>466</v>
      </c>
      <c r="B1" s="19"/>
      <c r="C1" s="19"/>
      <c r="D1" s="19"/>
      <c r="E1" s="19"/>
      <c r="F1" s="19"/>
      <c r="G1" s="19"/>
      <c r="H1" s="19"/>
      <c r="I1" s="19"/>
      <c r="J1" s="19"/>
      <c r="K1" s="19"/>
      <c r="L1" s="3"/>
      <c r="M1" s="3"/>
      <c r="N1" s="3"/>
    </row>
    <row r="2" spans="1:14">
      <c r="A2" s="3"/>
      <c r="B2" s="3"/>
      <c r="C2" s="3"/>
      <c r="D2" s="3"/>
      <c r="E2" s="3"/>
      <c r="F2" s="3"/>
      <c r="G2" s="3"/>
      <c r="H2" s="3"/>
      <c r="I2" s="3"/>
      <c r="J2" s="3"/>
      <c r="K2" s="3"/>
      <c r="L2" s="3"/>
      <c r="M2" s="3"/>
      <c r="N2" s="3"/>
    </row>
    <row r="3" ht="34" spans="1:14">
      <c r="A3" s="4" t="s">
        <v>108</v>
      </c>
      <c r="B3" s="4" t="s">
        <v>467</v>
      </c>
      <c r="C3" s="4" t="s">
        <v>468</v>
      </c>
      <c r="D3" s="4" t="s">
        <v>469</v>
      </c>
      <c r="E3" s="4" t="s">
        <v>470</v>
      </c>
      <c r="F3" s="4" t="s">
        <v>471</v>
      </c>
      <c r="G3" s="4" t="s">
        <v>472</v>
      </c>
      <c r="H3" s="4" t="s">
        <v>473</v>
      </c>
      <c r="I3" s="3"/>
      <c r="J3" s="3"/>
      <c r="K3" s="3"/>
      <c r="L3" s="3"/>
      <c r="M3" s="3"/>
      <c r="N3" s="3"/>
    </row>
    <row r="4" ht="51" spans="1:14">
      <c r="A4" s="3" t="s">
        <v>388</v>
      </c>
      <c r="B4" s="14">
        <f>'1PV Proposal'!E4</f>
        <v>816924.3</v>
      </c>
      <c r="C4" s="14">
        <f>'2ESS Proposal'!E4</f>
        <v>258048</v>
      </c>
      <c r="D4" s="14">
        <f>B4+C4</f>
        <v>1074972.3</v>
      </c>
      <c r="E4" s="41">
        <v>0.3</v>
      </c>
      <c r="F4" s="14">
        <f>D4*E4</f>
        <v>322491.69</v>
      </c>
      <c r="G4" s="3" t="s">
        <v>474</v>
      </c>
      <c r="H4" s="3" t="s">
        <v>475</v>
      </c>
      <c r="I4" s="3"/>
      <c r="J4" s="3"/>
      <c r="K4" s="3"/>
      <c r="L4" s="3"/>
      <c r="M4" s="3"/>
      <c r="N4" s="3"/>
    </row>
    <row r="5" ht="84" spans="1:14">
      <c r="A5" s="3" t="s">
        <v>476</v>
      </c>
      <c r="B5" s="14">
        <f>'1PV Proposal'!E4</f>
        <v>816924.3</v>
      </c>
      <c r="C5" s="14">
        <f>'2ESS Proposal'!E4</f>
        <v>258048</v>
      </c>
      <c r="D5" s="14">
        <f>B5+C5</f>
        <v>1074972.3</v>
      </c>
      <c r="E5" s="41">
        <v>0.3</v>
      </c>
      <c r="F5" s="14">
        <f>D5*(1-0.5*E4)*E5</f>
        <v>274117.9365</v>
      </c>
      <c r="G5" s="3" t="s">
        <v>477</v>
      </c>
      <c r="H5" s="3" t="s">
        <v>478</v>
      </c>
      <c r="I5" s="3"/>
      <c r="J5" s="3"/>
      <c r="K5" s="3"/>
      <c r="L5" s="3"/>
      <c r="M5" s="3"/>
      <c r="N5" s="3"/>
    </row>
    <row r="6" ht="68" spans="1:14">
      <c r="A6" s="3" t="s">
        <v>479</v>
      </c>
      <c r="B6" s="14">
        <f>'1PV Proposal'!E4</f>
        <v>816924.3</v>
      </c>
      <c r="C6" s="14">
        <f>'2ESS Proposal'!E4</f>
        <v>258048</v>
      </c>
      <c r="D6" s="14">
        <f>B6+C6</f>
        <v>1074972.3</v>
      </c>
      <c r="E6" s="41">
        <v>0.08</v>
      </c>
      <c r="F6" s="14">
        <f>D6*E6</f>
        <v>85997.784</v>
      </c>
      <c r="G6" s="3" t="s">
        <v>477</v>
      </c>
      <c r="H6" s="3" t="s">
        <v>480</v>
      </c>
      <c r="I6" s="3"/>
      <c r="J6" s="3"/>
      <c r="K6" s="3"/>
      <c r="L6" s="3"/>
      <c r="M6" s="3"/>
      <c r="N6" s="3"/>
    </row>
    <row r="7" spans="1:14">
      <c r="A7" s="3"/>
      <c r="B7" s="14"/>
      <c r="C7" s="14"/>
      <c r="D7" s="14"/>
      <c r="E7" s="14"/>
      <c r="F7" s="14"/>
      <c r="G7" s="3"/>
      <c r="H7" s="3"/>
      <c r="I7" s="3"/>
      <c r="J7" s="3"/>
      <c r="K7" s="3"/>
      <c r="L7" s="3"/>
      <c r="M7" s="3"/>
      <c r="N7" s="3"/>
    </row>
    <row r="8" spans="1:14">
      <c r="A8" s="3"/>
      <c r="B8" s="14"/>
      <c r="C8" s="14"/>
      <c r="D8" s="14"/>
      <c r="E8" s="14"/>
      <c r="F8" s="14"/>
      <c r="G8" s="3"/>
      <c r="H8" s="3"/>
      <c r="I8" s="3"/>
      <c r="J8" s="3"/>
      <c r="K8" s="3"/>
      <c r="L8" s="3"/>
      <c r="M8" s="3"/>
      <c r="N8" s="3"/>
    </row>
    <row r="9" ht="17" spans="1:14">
      <c r="A9" s="6" t="s">
        <v>481</v>
      </c>
      <c r="B9" s="29" t="s">
        <v>482</v>
      </c>
      <c r="C9" s="29" t="s">
        <v>483</v>
      </c>
      <c r="D9" s="29" t="s">
        <v>484</v>
      </c>
      <c r="E9" s="29" t="s">
        <v>485</v>
      </c>
      <c r="F9" s="6" t="s">
        <v>486</v>
      </c>
      <c r="G9" s="6" t="s">
        <v>487</v>
      </c>
      <c r="H9" s="6" t="s">
        <v>488</v>
      </c>
      <c r="I9" s="6" t="s">
        <v>465</v>
      </c>
      <c r="J9" s="6" t="s">
        <v>489</v>
      </c>
      <c r="K9" s="6" t="s">
        <v>490</v>
      </c>
      <c r="L9" s="3"/>
      <c r="M9" s="3"/>
      <c r="N9" s="3"/>
    </row>
    <row r="10" ht="34" spans="1:14">
      <c r="A10" s="3" t="s">
        <v>491</v>
      </c>
      <c r="B10" s="14">
        <f>D5*(1-0.5*$E$4)</f>
        <v>913726.455</v>
      </c>
      <c r="C10" s="30">
        <v>0.68</v>
      </c>
      <c r="D10" s="30">
        <v>0.128</v>
      </c>
      <c r="E10" s="30">
        <v>0.0768</v>
      </c>
      <c r="F10" s="30">
        <v>0.04608</v>
      </c>
      <c r="G10" s="30">
        <v>0.04608</v>
      </c>
      <c r="H10" s="30">
        <v>0.02304</v>
      </c>
      <c r="I10" s="30">
        <f>SUM(C10:H10)</f>
        <v>1</v>
      </c>
      <c r="J10" s="12">
        <v>0.3</v>
      </c>
      <c r="K10" s="3">
        <f>B10*I10*J10</f>
        <v>274117.9365</v>
      </c>
      <c r="L10" s="3"/>
      <c r="M10" s="3"/>
      <c r="N10" s="3"/>
    </row>
    <row r="11" spans="1:14">
      <c r="A11" s="31" t="s">
        <v>492</v>
      </c>
      <c r="B11" s="32">
        <f>D6</f>
        <v>1074972.3</v>
      </c>
      <c r="C11" s="33">
        <v>0.2</v>
      </c>
      <c r="D11" s="33">
        <v>0.32</v>
      </c>
      <c r="E11" s="33">
        <v>0.192</v>
      </c>
      <c r="F11" s="33">
        <v>0.1152</v>
      </c>
      <c r="G11" s="33">
        <v>0.1152</v>
      </c>
      <c r="H11" s="33">
        <v>0.0576</v>
      </c>
      <c r="I11" s="30">
        <f>SUM(C11:H11)</f>
        <v>1</v>
      </c>
      <c r="J11" s="12">
        <v>0.08</v>
      </c>
      <c r="K11" s="3">
        <f>B11*I11*J11</f>
        <v>85997.784</v>
      </c>
      <c r="L11" s="3"/>
      <c r="M11" s="3"/>
      <c r="N11" s="3"/>
    </row>
    <row r="12" spans="1:14">
      <c r="A12" s="31" t="s">
        <v>388</v>
      </c>
      <c r="B12" s="32">
        <f>D4</f>
        <v>1074972.3</v>
      </c>
      <c r="C12" s="33">
        <v>0.3</v>
      </c>
      <c r="D12" s="33">
        <v>0</v>
      </c>
      <c r="E12" s="33">
        <v>0</v>
      </c>
      <c r="F12" s="33">
        <v>0</v>
      </c>
      <c r="G12" s="33">
        <v>0</v>
      </c>
      <c r="H12" s="33">
        <v>0</v>
      </c>
      <c r="I12" s="30">
        <f>SUM(C12:H12)</f>
        <v>0.3</v>
      </c>
      <c r="J12" s="12">
        <v>1</v>
      </c>
      <c r="K12" s="3">
        <f>B12*C12</f>
        <v>322491.69</v>
      </c>
      <c r="L12" s="3"/>
      <c r="M12" s="3"/>
      <c r="N12" s="3"/>
    </row>
    <row r="13" spans="1:14">
      <c r="A13" s="34"/>
      <c r="B13" s="34"/>
      <c r="C13" s="34"/>
      <c r="D13" s="34"/>
      <c r="E13" s="34"/>
      <c r="F13" s="34"/>
      <c r="G13" s="31"/>
      <c r="H13" s="31"/>
      <c r="I13" s="3"/>
      <c r="J13" s="3"/>
      <c r="K13" s="3"/>
      <c r="L13" s="3"/>
      <c r="M13" s="3"/>
      <c r="N13" s="3"/>
    </row>
    <row r="14" spans="1:14">
      <c r="A14" s="34"/>
      <c r="B14" s="34"/>
      <c r="C14" s="34"/>
      <c r="D14" s="34"/>
      <c r="E14" s="34"/>
      <c r="F14" s="34"/>
      <c r="G14" s="31"/>
      <c r="H14" s="31"/>
      <c r="I14" s="3"/>
      <c r="J14" s="3"/>
      <c r="K14" s="3"/>
      <c r="L14" s="3"/>
      <c r="M14" s="3"/>
      <c r="N14" s="3"/>
    </row>
    <row r="15" spans="1:14">
      <c r="A15" s="35" t="s">
        <v>493</v>
      </c>
      <c r="B15" s="35" t="s">
        <v>474</v>
      </c>
      <c r="C15" s="35" t="s">
        <v>494</v>
      </c>
      <c r="D15" s="35" t="s">
        <v>495</v>
      </c>
      <c r="E15" s="35" t="s">
        <v>496</v>
      </c>
      <c r="F15" s="35" t="s">
        <v>497</v>
      </c>
      <c r="G15" s="42" t="s">
        <v>498</v>
      </c>
      <c r="H15" s="42" t="s">
        <v>465</v>
      </c>
      <c r="I15" s="3"/>
      <c r="J15" s="3"/>
      <c r="K15" s="3"/>
      <c r="L15" s="3"/>
      <c r="M15" s="3"/>
      <c r="N15" s="3"/>
    </row>
    <row r="16" spans="1:14">
      <c r="A16" s="36" t="s">
        <v>388</v>
      </c>
      <c r="B16" s="37">
        <f>$B$12*C12</f>
        <v>322491.69</v>
      </c>
      <c r="C16" s="37">
        <f>$B$12*D12</f>
        <v>0</v>
      </c>
      <c r="D16" s="37">
        <f>$B$12*E12</f>
        <v>0</v>
      </c>
      <c r="E16" s="37">
        <f>$B$12*F12</f>
        <v>0</v>
      </c>
      <c r="F16" s="37">
        <f>$B$12*G12</f>
        <v>0</v>
      </c>
      <c r="G16" s="14">
        <f>$B$12*H12</f>
        <v>0</v>
      </c>
      <c r="H16" s="14">
        <f>SUM(B16:G16)</f>
        <v>322491.69</v>
      </c>
      <c r="I16" s="3"/>
      <c r="J16" s="3"/>
      <c r="K16" s="3"/>
      <c r="L16" s="3"/>
      <c r="M16" s="3"/>
      <c r="N16" s="3"/>
    </row>
    <row r="17" spans="1:14">
      <c r="A17" s="38" t="s">
        <v>499</v>
      </c>
      <c r="B17" s="39">
        <f>$B$10*C10*$J$10</f>
        <v>186400.19682</v>
      </c>
      <c r="C17" s="39">
        <f>$B$10*D10*$J$10</f>
        <v>35087.095872</v>
      </c>
      <c r="D17" s="37">
        <f>$B$10*E10*$J$10</f>
        <v>21052.2575232</v>
      </c>
      <c r="E17" s="37">
        <f>$B$10*F10*$J$10</f>
        <v>12631.35451392</v>
      </c>
      <c r="F17" s="37">
        <f>$B$10*G10*$J$10</f>
        <v>12631.35451392</v>
      </c>
      <c r="G17" s="14">
        <f>$B$10*H10*$J$10</f>
        <v>6315.67725696</v>
      </c>
      <c r="H17" s="14">
        <f>SUM(B17:G17)</f>
        <v>274117.9365</v>
      </c>
      <c r="I17" s="3"/>
      <c r="J17" s="3"/>
      <c r="K17" s="3"/>
      <c r="L17" s="3"/>
      <c r="M17" s="3"/>
      <c r="N17" s="3"/>
    </row>
    <row r="18" ht="17" spans="1:14">
      <c r="A18" s="3" t="s">
        <v>479</v>
      </c>
      <c r="B18" s="14">
        <f>$B$11*C11*$J$11</f>
        <v>17199.5568</v>
      </c>
      <c r="C18" s="14">
        <f>$B$11*D11*$J$11</f>
        <v>27519.29088</v>
      </c>
      <c r="D18" s="14">
        <f>$B$11*E11*$J$11</f>
        <v>16511.574528</v>
      </c>
      <c r="E18" s="14">
        <f>$B$11*F11*$J$11</f>
        <v>9906.9447168</v>
      </c>
      <c r="F18" s="14">
        <f>$B$11*G11*$J$11</f>
        <v>9906.9447168</v>
      </c>
      <c r="G18" s="14">
        <f>$B$11*H11*$J$11</f>
        <v>4953.4723584</v>
      </c>
      <c r="H18" s="14">
        <f>SUM(B18:G18)</f>
        <v>85997.784</v>
      </c>
      <c r="I18" s="3"/>
      <c r="J18" s="3"/>
      <c r="K18" s="3"/>
      <c r="L18" s="3"/>
      <c r="M18" s="3"/>
      <c r="N18" s="3"/>
    </row>
    <row r="19" ht="17" spans="1:14">
      <c r="A19" s="3" t="s">
        <v>490</v>
      </c>
      <c r="B19" s="14">
        <f t="shared" ref="B19:G19" si="0">SUM(B16:B18)</f>
        <v>526091.44362</v>
      </c>
      <c r="C19" s="14">
        <f t="shared" si="0"/>
        <v>62606.386752</v>
      </c>
      <c r="D19" s="14">
        <f t="shared" si="0"/>
        <v>37563.8320512</v>
      </c>
      <c r="E19" s="14">
        <f t="shared" si="0"/>
        <v>22538.29923072</v>
      </c>
      <c r="F19" s="14">
        <f t="shared" si="0"/>
        <v>22538.29923072</v>
      </c>
      <c r="G19" s="14">
        <f t="shared" si="0"/>
        <v>11269.14961536</v>
      </c>
      <c r="H19" s="14">
        <f>SUM(B19:G19)</f>
        <v>682607.4105</v>
      </c>
      <c r="I19" s="3"/>
      <c r="J19" s="3"/>
      <c r="K19" s="3"/>
      <c r="L19" s="3"/>
      <c r="M19" s="3"/>
      <c r="N19" s="3"/>
    </row>
    <row r="20" spans="1:14">
      <c r="A20" s="3"/>
      <c r="B20" s="3"/>
      <c r="C20" s="3"/>
      <c r="D20" s="3"/>
      <c r="E20" s="3"/>
      <c r="F20" s="3"/>
      <c r="G20" s="3"/>
      <c r="H20" s="3"/>
      <c r="I20" s="3"/>
      <c r="J20" s="3"/>
      <c r="K20" s="3"/>
      <c r="L20" s="3"/>
      <c r="M20" s="3"/>
      <c r="N20" s="3"/>
    </row>
    <row r="21" spans="1:14">
      <c r="A21" s="3"/>
      <c r="B21" s="3"/>
      <c r="C21" s="3"/>
      <c r="D21" s="3"/>
      <c r="E21" s="3"/>
      <c r="F21" s="3"/>
      <c r="G21" s="3"/>
      <c r="H21" s="3"/>
      <c r="I21" s="3"/>
      <c r="J21" s="3"/>
      <c r="K21" s="3"/>
      <c r="L21" s="3"/>
      <c r="M21" s="3"/>
      <c r="N21" s="3"/>
    </row>
    <row r="22" spans="1:14">
      <c r="A22" s="23" t="s">
        <v>500</v>
      </c>
      <c r="B22" s="23"/>
      <c r="C22" s="23"/>
      <c r="D22" s="23"/>
      <c r="E22" s="23"/>
      <c r="F22" s="23"/>
      <c r="G22" s="23"/>
      <c r="H22" s="23"/>
      <c r="I22" s="23"/>
      <c r="J22" s="23"/>
      <c r="K22" s="23"/>
      <c r="L22" s="3"/>
      <c r="M22" s="3"/>
      <c r="N22" s="3"/>
    </row>
    <row r="23" spans="1:14">
      <c r="A23" s="23"/>
      <c r="B23" s="23"/>
      <c r="C23" s="23"/>
      <c r="D23" s="23"/>
      <c r="E23" s="23"/>
      <c r="F23" s="23"/>
      <c r="G23" s="23"/>
      <c r="H23" s="23"/>
      <c r="I23" s="23"/>
      <c r="J23" s="23"/>
      <c r="K23" s="23"/>
      <c r="L23" s="3"/>
      <c r="M23" s="3"/>
      <c r="N23" s="3"/>
    </row>
    <row r="24" spans="1:14">
      <c r="A24" s="23"/>
      <c r="B24" s="23"/>
      <c r="C24" s="23"/>
      <c r="D24" s="23"/>
      <c r="E24" s="23"/>
      <c r="F24" s="23"/>
      <c r="G24" s="23"/>
      <c r="H24" s="23"/>
      <c r="I24" s="23"/>
      <c r="J24" s="23"/>
      <c r="K24" s="23"/>
      <c r="L24" s="3"/>
      <c r="M24" s="3"/>
      <c r="N24" s="3"/>
    </row>
    <row r="25" spans="1:14">
      <c r="A25" s="23"/>
      <c r="B25" s="23"/>
      <c r="C25" s="23"/>
      <c r="D25" s="23"/>
      <c r="E25" s="23"/>
      <c r="F25" s="23"/>
      <c r="G25" s="23"/>
      <c r="H25" s="23"/>
      <c r="I25" s="23"/>
      <c r="J25" s="23"/>
      <c r="K25" s="23"/>
      <c r="L25" s="3"/>
      <c r="M25" s="3"/>
      <c r="N25" s="3"/>
    </row>
    <row r="26" spans="1:14">
      <c r="A26" s="23"/>
      <c r="B26" s="23"/>
      <c r="C26" s="23"/>
      <c r="D26" s="23"/>
      <c r="E26" s="23"/>
      <c r="F26" s="23"/>
      <c r="G26" s="23"/>
      <c r="H26" s="23"/>
      <c r="I26" s="23"/>
      <c r="J26" s="23"/>
      <c r="K26" s="23"/>
      <c r="L26" s="3"/>
      <c r="M26" s="3"/>
      <c r="N26" s="3"/>
    </row>
    <row r="27" spans="1:14">
      <c r="A27" s="3"/>
      <c r="B27" s="3"/>
      <c r="C27" s="3"/>
      <c r="D27" s="3"/>
      <c r="E27" s="3"/>
      <c r="F27" s="3"/>
      <c r="G27" s="3"/>
      <c r="H27" s="3"/>
      <c r="I27" s="3"/>
      <c r="J27" s="3"/>
      <c r="K27" s="3"/>
      <c r="L27" s="3"/>
      <c r="M27" s="3"/>
      <c r="N27" s="3"/>
    </row>
    <row r="28" ht="20.4" spans="1:14">
      <c r="A28" s="40" t="s">
        <v>501</v>
      </c>
      <c r="B28" s="40"/>
      <c r="C28" s="40"/>
      <c r="D28" s="40"/>
      <c r="E28" s="40"/>
      <c r="F28" s="40"/>
      <c r="G28" s="40"/>
      <c r="H28" s="40"/>
      <c r="I28" s="40"/>
      <c r="J28" s="40"/>
      <c r="K28" s="40"/>
      <c r="L28" s="3"/>
      <c r="M28" s="3"/>
      <c r="N28" s="3"/>
    </row>
    <row r="29" spans="1:14">
      <c r="A29" s="3"/>
      <c r="B29" s="3"/>
      <c r="C29" s="3"/>
      <c r="D29" s="3"/>
      <c r="E29" s="3"/>
      <c r="F29" s="3"/>
      <c r="G29" s="3"/>
      <c r="H29" s="3"/>
      <c r="I29" s="3"/>
      <c r="J29" s="3"/>
      <c r="K29" s="3"/>
      <c r="L29" s="3"/>
      <c r="M29" s="3"/>
      <c r="N29" s="3"/>
    </row>
    <row r="30" ht="17" spans="1:14">
      <c r="A30" s="18" t="s">
        <v>502</v>
      </c>
      <c r="B30" s="18" t="s">
        <v>503</v>
      </c>
      <c r="C30" s="18" t="s">
        <v>385</v>
      </c>
      <c r="D30" s="18" t="s">
        <v>504</v>
      </c>
      <c r="E30" s="18" t="s">
        <v>472</v>
      </c>
      <c r="F30" s="3"/>
      <c r="G30" s="3"/>
      <c r="H30" s="3"/>
      <c r="I30" s="3"/>
      <c r="J30" s="3"/>
      <c r="K30" s="3"/>
      <c r="L30" s="3"/>
      <c r="M30" s="3"/>
      <c r="N30" s="3"/>
    </row>
    <row r="31" ht="17" spans="1:14">
      <c r="A31" s="3" t="s">
        <v>421</v>
      </c>
      <c r="B31" s="14">
        <f>'1PV Proposal'!E4*'3Rebates Incentives'!E4</f>
        <v>245077.29</v>
      </c>
      <c r="C31" s="14">
        <f>'2ESS Proposal'!E4*'3Rebates Incentives'!E4</f>
        <v>77414.4</v>
      </c>
      <c r="D31" s="14">
        <f>B31+C31</f>
        <v>322491.69</v>
      </c>
      <c r="E31" s="3" t="s">
        <v>474</v>
      </c>
      <c r="F31" s="3"/>
      <c r="G31" s="3"/>
      <c r="H31" s="3"/>
      <c r="I31" s="3"/>
      <c r="J31" s="3"/>
      <c r="K31" s="3"/>
      <c r="L31" s="3"/>
      <c r="M31" s="3"/>
      <c r="N31" s="3"/>
    </row>
    <row r="32" ht="17" spans="1:14">
      <c r="A32" s="3" t="s">
        <v>505</v>
      </c>
      <c r="B32" s="14">
        <f>'1PV Proposal'!E4*(1-0.5*'3Rebates Incentives'!E4)*'3Rebates Incentives'!E5</f>
        <v>208315.6965</v>
      </c>
      <c r="C32" s="14">
        <f>'2ESS Proposal'!E4*(1-0.5*'3Rebates Incentives'!E4)*'3Rebates Incentives'!E5</f>
        <v>65802.24</v>
      </c>
      <c r="D32" s="14">
        <f>B32+C32</f>
        <v>274117.9365</v>
      </c>
      <c r="E32" s="3" t="s">
        <v>477</v>
      </c>
      <c r="F32" s="3"/>
      <c r="G32" s="3"/>
      <c r="H32" s="3"/>
      <c r="I32" s="3"/>
      <c r="J32" s="3"/>
      <c r="K32" s="3"/>
      <c r="L32" s="3"/>
      <c r="M32" s="3"/>
      <c r="N32" s="3"/>
    </row>
    <row r="33" ht="17" spans="1:14">
      <c r="A33" s="3" t="s">
        <v>506</v>
      </c>
      <c r="B33" s="14">
        <f>'1PV Proposal'!E4*'3Rebates Incentives'!E6</f>
        <v>65353.944</v>
      </c>
      <c r="C33" s="14">
        <f>'2ESS Proposal'!E4*'3Rebates Incentives'!E6</f>
        <v>20643.84</v>
      </c>
      <c r="D33" s="14">
        <f>B33+C33</f>
        <v>85997.784</v>
      </c>
      <c r="E33" s="3" t="s">
        <v>477</v>
      </c>
      <c r="F33" s="3"/>
      <c r="G33" s="3"/>
      <c r="H33" s="3"/>
      <c r="I33" s="3"/>
      <c r="J33" s="3"/>
      <c r="K33" s="3"/>
      <c r="L33" s="3"/>
      <c r="M33" s="3"/>
      <c r="N33" s="3"/>
    </row>
    <row r="34" ht="34" spans="1:14">
      <c r="A34" s="3" t="s">
        <v>507</v>
      </c>
      <c r="B34" s="14">
        <f>SUM(B31:B33)</f>
        <v>518746.9305</v>
      </c>
      <c r="C34" s="14">
        <f>SUM(C31:C33)</f>
        <v>163860.48</v>
      </c>
      <c r="D34" s="14">
        <f>SUM(D31:D33)</f>
        <v>682607.4105</v>
      </c>
      <c r="E34" s="3" t="s">
        <v>508</v>
      </c>
      <c r="F34" s="3"/>
      <c r="G34" s="3"/>
      <c r="H34" s="3"/>
      <c r="I34" s="3"/>
      <c r="J34" s="3"/>
      <c r="K34" s="3"/>
      <c r="L34" s="3"/>
      <c r="M34" s="3"/>
      <c r="N34" s="3"/>
    </row>
    <row r="35" spans="1:14">
      <c r="A35" s="3"/>
      <c r="B35" s="3"/>
      <c r="C35" s="3"/>
      <c r="D35" s="3"/>
      <c r="E35" s="3"/>
      <c r="F35" s="3"/>
      <c r="G35" s="3"/>
      <c r="H35" s="3"/>
      <c r="I35" s="3"/>
      <c r="J35" s="3"/>
      <c r="K35" s="3"/>
      <c r="L35" s="3"/>
      <c r="M35" s="3"/>
      <c r="N35" s="3"/>
    </row>
    <row r="36" spans="1:14">
      <c r="A36" s="3"/>
      <c r="B36" s="3"/>
      <c r="C36" s="3"/>
      <c r="D36" s="3"/>
      <c r="E36" s="3"/>
      <c r="F36" s="3"/>
      <c r="G36" s="3"/>
      <c r="H36" s="3"/>
      <c r="I36" s="3"/>
      <c r="J36" s="3"/>
      <c r="K36" s="3"/>
      <c r="L36" s="3"/>
      <c r="M36" s="3"/>
      <c r="N36" s="3"/>
    </row>
    <row r="37" spans="1:14">
      <c r="A37" s="3"/>
      <c r="B37" s="3"/>
      <c r="C37" s="3"/>
      <c r="D37" s="3"/>
      <c r="E37" s="3"/>
      <c r="F37" s="3"/>
      <c r="G37" s="3"/>
      <c r="H37" s="3"/>
      <c r="I37" s="3"/>
      <c r="J37" s="3"/>
      <c r="K37" s="3"/>
      <c r="L37" s="3"/>
      <c r="M37" s="3"/>
      <c r="N37" s="3"/>
    </row>
    <row r="38" spans="1:14">
      <c r="A38" s="3"/>
      <c r="B38" s="3"/>
      <c r="C38" s="3"/>
      <c r="D38" s="3"/>
      <c r="E38" s="3"/>
      <c r="F38" s="3"/>
      <c r="G38" s="3"/>
      <c r="H38" s="3"/>
      <c r="I38" s="3"/>
      <c r="J38" s="3"/>
      <c r="K38" s="3"/>
      <c r="L38" s="3"/>
      <c r="M38" s="3"/>
      <c r="N38" s="3"/>
    </row>
    <row r="39" spans="1:14">
      <c r="A39" s="3"/>
      <c r="B39" s="3"/>
      <c r="C39" s="3"/>
      <c r="D39" s="3"/>
      <c r="E39" s="3"/>
      <c r="F39" s="3"/>
      <c r="G39" s="3"/>
      <c r="H39" s="3"/>
      <c r="I39" s="3"/>
      <c r="J39" s="3"/>
      <c r="K39" s="3"/>
      <c r="L39" s="3"/>
      <c r="M39" s="3"/>
      <c r="N39" s="3"/>
    </row>
    <row r="40" spans="1:14">
      <c r="A40" s="3"/>
      <c r="B40" s="3"/>
      <c r="C40" s="3"/>
      <c r="D40" s="3"/>
      <c r="E40" s="3"/>
      <c r="F40" s="3"/>
      <c r="G40" s="3"/>
      <c r="H40" s="3"/>
      <c r="I40" s="3"/>
      <c r="J40" s="3"/>
      <c r="K40" s="3"/>
      <c r="L40" s="3"/>
      <c r="M40" s="3"/>
      <c r="N40" s="3"/>
    </row>
    <row r="41" spans="1:14">
      <c r="A41" s="3"/>
      <c r="B41" s="3"/>
      <c r="C41" s="3"/>
      <c r="D41" s="3"/>
      <c r="E41" s="3"/>
      <c r="F41" s="3"/>
      <c r="G41" s="3"/>
      <c r="H41" s="3"/>
      <c r="I41" s="3"/>
      <c r="J41" s="3"/>
      <c r="K41" s="3"/>
      <c r="L41" s="3"/>
      <c r="M41" s="3"/>
      <c r="N41" s="3"/>
    </row>
    <row r="42" spans="1:14">
      <c r="A42" s="3"/>
      <c r="B42" s="3"/>
      <c r="C42" s="3"/>
      <c r="D42" s="3"/>
      <c r="E42" s="3"/>
      <c r="F42" s="3"/>
      <c r="G42" s="3"/>
      <c r="H42" s="3"/>
      <c r="I42" s="3"/>
      <c r="J42" s="3"/>
      <c r="K42" s="3"/>
      <c r="L42" s="3"/>
      <c r="M42" s="3"/>
      <c r="N42" s="3"/>
    </row>
    <row r="43" spans="1:14">
      <c r="A43" s="3"/>
      <c r="B43" s="3"/>
      <c r="C43" s="3"/>
      <c r="D43" s="3"/>
      <c r="E43" s="3"/>
      <c r="F43" s="3"/>
      <c r="G43" s="3"/>
      <c r="H43" s="3"/>
      <c r="I43" s="3"/>
      <c r="J43" s="3"/>
      <c r="K43" s="3"/>
      <c r="L43" s="3"/>
      <c r="M43" s="3"/>
      <c r="N43" s="3"/>
    </row>
    <row r="44" spans="1:14">
      <c r="A44" s="3"/>
      <c r="B44" s="3"/>
      <c r="C44" s="3"/>
      <c r="D44" s="3"/>
      <c r="E44" s="3"/>
      <c r="F44" s="3"/>
      <c r="G44" s="3"/>
      <c r="H44" s="3"/>
      <c r="I44" s="3"/>
      <c r="J44" s="3"/>
      <c r="K44" s="3"/>
      <c r="L44" s="3"/>
      <c r="M44" s="3"/>
      <c r="N44" s="3"/>
    </row>
    <row r="45" spans="1:14">
      <c r="A45" s="3"/>
      <c r="B45" s="3"/>
      <c r="C45" s="3"/>
      <c r="D45" s="3"/>
      <c r="E45" s="3"/>
      <c r="F45" s="3"/>
      <c r="G45" s="3"/>
      <c r="H45" s="3"/>
      <c r="I45" s="3"/>
      <c r="J45" s="3"/>
      <c r="K45" s="3"/>
      <c r="L45" s="3"/>
      <c r="M45" s="3"/>
      <c r="N45" s="3"/>
    </row>
    <row r="46" spans="1:14">
      <c r="A46" s="3"/>
      <c r="B46" s="3"/>
      <c r="C46" s="3"/>
      <c r="D46" s="3"/>
      <c r="E46" s="3"/>
      <c r="F46" s="3"/>
      <c r="G46" s="3"/>
      <c r="H46" s="3"/>
      <c r="I46" s="3"/>
      <c r="J46" s="3"/>
      <c r="K46" s="3"/>
      <c r="L46" s="3"/>
      <c r="M46" s="3"/>
      <c r="N46" s="3"/>
    </row>
    <row r="47" spans="1:14">
      <c r="A47" s="3"/>
      <c r="B47" s="3"/>
      <c r="C47" s="3"/>
      <c r="D47" s="3"/>
      <c r="E47" s="3"/>
      <c r="F47" s="3"/>
      <c r="G47" s="3"/>
      <c r="H47" s="3"/>
      <c r="I47" s="3"/>
      <c r="J47" s="3"/>
      <c r="K47" s="3"/>
      <c r="L47" s="3"/>
      <c r="M47" s="3"/>
      <c r="N47" s="3"/>
    </row>
    <row r="48" spans="1:14">
      <c r="A48" s="3"/>
      <c r="B48" s="3"/>
      <c r="C48" s="3"/>
      <c r="D48" s="3"/>
      <c r="E48" s="3"/>
      <c r="F48" s="3"/>
      <c r="G48" s="3"/>
      <c r="H48" s="3"/>
      <c r="I48" s="3"/>
      <c r="J48" s="3"/>
      <c r="K48" s="3"/>
      <c r="L48" s="3"/>
      <c r="M48" s="3"/>
      <c r="N48" s="3"/>
    </row>
    <row r="49" spans="1:14">
      <c r="A49" s="3"/>
      <c r="B49" s="3"/>
      <c r="C49" s="3"/>
      <c r="D49" s="3"/>
      <c r="E49" s="3"/>
      <c r="F49" s="3"/>
      <c r="G49" s="3"/>
      <c r="H49" s="3"/>
      <c r="I49" s="3"/>
      <c r="J49" s="3"/>
      <c r="K49" s="3"/>
      <c r="L49" s="3"/>
      <c r="M49" s="3"/>
      <c r="N49" s="3"/>
    </row>
    <row r="50" spans="1:14">
      <c r="A50" s="3"/>
      <c r="B50" s="3"/>
      <c r="C50" s="3"/>
      <c r="D50" s="3"/>
      <c r="E50" s="3"/>
      <c r="F50" s="3"/>
      <c r="G50" s="3"/>
      <c r="H50" s="3"/>
      <c r="I50" s="3"/>
      <c r="J50" s="3"/>
      <c r="K50" s="3"/>
      <c r="L50" s="3"/>
      <c r="M50" s="3"/>
      <c r="N50" s="3"/>
    </row>
    <row r="51" spans="1:14">
      <c r="A51" s="3"/>
      <c r="B51" s="3"/>
      <c r="C51" s="3"/>
      <c r="D51" s="3"/>
      <c r="E51" s="3"/>
      <c r="F51" s="3"/>
      <c r="G51" s="3"/>
      <c r="H51" s="3"/>
      <c r="I51" s="3"/>
      <c r="J51" s="3"/>
      <c r="K51" s="3"/>
      <c r="L51" s="3"/>
      <c r="M51" s="3"/>
      <c r="N51" s="3"/>
    </row>
    <row r="52" spans="1:14">
      <c r="A52" s="3"/>
      <c r="B52" s="3"/>
      <c r="C52" s="3"/>
      <c r="D52" s="3"/>
      <c r="E52" s="3"/>
      <c r="F52" s="3"/>
      <c r="G52" s="3"/>
      <c r="H52" s="3"/>
      <c r="I52" s="3"/>
      <c r="J52" s="3"/>
      <c r="K52" s="3"/>
      <c r="L52" s="3"/>
      <c r="M52" s="3"/>
      <c r="N52" s="3"/>
    </row>
    <row r="53" spans="1:14">
      <c r="A53" s="3"/>
      <c r="B53" s="3"/>
      <c r="C53" s="3"/>
      <c r="D53" s="3"/>
      <c r="E53" s="3"/>
      <c r="F53" s="3"/>
      <c r="G53" s="3"/>
      <c r="H53" s="3"/>
      <c r="I53" s="3"/>
      <c r="J53" s="3"/>
      <c r="K53" s="3"/>
      <c r="L53" s="3"/>
      <c r="M53" s="3"/>
      <c r="N53" s="3"/>
    </row>
    <row r="54" spans="1:14">
      <c r="A54" s="3"/>
      <c r="B54" s="3"/>
      <c r="C54" s="3"/>
      <c r="D54" s="3"/>
      <c r="E54" s="3"/>
      <c r="F54" s="3"/>
      <c r="G54" s="3"/>
      <c r="H54" s="3"/>
      <c r="I54" s="3"/>
      <c r="J54" s="3"/>
      <c r="K54" s="3"/>
      <c r="L54" s="3"/>
      <c r="M54" s="3"/>
      <c r="N54" s="3"/>
    </row>
    <row r="55" spans="1:14">
      <c r="A55" s="3"/>
      <c r="B55" s="3"/>
      <c r="C55" s="3"/>
      <c r="D55" s="3"/>
      <c r="E55" s="3"/>
      <c r="F55" s="3"/>
      <c r="G55" s="3"/>
      <c r="H55" s="3"/>
      <c r="I55" s="3"/>
      <c r="J55" s="3"/>
      <c r="K55" s="3"/>
      <c r="L55" s="3"/>
      <c r="M55" s="3"/>
      <c r="N55" s="3"/>
    </row>
    <row r="56" spans="1:14">
      <c r="A56" s="3"/>
      <c r="B56" s="3"/>
      <c r="C56" s="3"/>
      <c r="D56" s="3"/>
      <c r="E56" s="3"/>
      <c r="F56" s="3"/>
      <c r="G56" s="3"/>
      <c r="H56" s="3"/>
      <c r="I56" s="3"/>
      <c r="J56" s="3"/>
      <c r="K56" s="3"/>
      <c r="L56" s="3"/>
      <c r="M56" s="3"/>
      <c r="N56" s="3"/>
    </row>
    <row r="57" spans="1:14">
      <c r="A57" s="3"/>
      <c r="B57" s="3"/>
      <c r="C57" s="3"/>
      <c r="D57" s="3"/>
      <c r="E57" s="3"/>
      <c r="F57" s="3"/>
      <c r="G57" s="3"/>
      <c r="H57" s="3"/>
      <c r="I57" s="3"/>
      <c r="J57" s="3"/>
      <c r="K57" s="3"/>
      <c r="L57" s="3"/>
      <c r="M57" s="3"/>
      <c r="N57" s="3"/>
    </row>
    <row r="58" spans="1:14">
      <c r="A58" s="3"/>
      <c r="B58" s="3"/>
      <c r="C58" s="3"/>
      <c r="D58" s="3"/>
      <c r="E58" s="3"/>
      <c r="F58" s="3"/>
      <c r="G58" s="3"/>
      <c r="H58" s="3"/>
      <c r="I58" s="3"/>
      <c r="J58" s="3"/>
      <c r="K58" s="3"/>
      <c r="L58" s="3"/>
      <c r="M58" s="3"/>
      <c r="N58" s="3"/>
    </row>
    <row r="59" spans="1:14">
      <c r="A59" s="3"/>
      <c r="B59" s="3"/>
      <c r="C59" s="3"/>
      <c r="D59" s="3"/>
      <c r="E59" s="3"/>
      <c r="F59" s="3"/>
      <c r="G59" s="3"/>
      <c r="H59" s="3"/>
      <c r="I59" s="3"/>
      <c r="J59" s="3"/>
      <c r="K59" s="3"/>
      <c r="L59" s="3"/>
      <c r="M59" s="3"/>
      <c r="N59" s="3"/>
    </row>
    <row r="60" spans="1:14">
      <c r="A60" s="3"/>
      <c r="B60" s="3"/>
      <c r="C60" s="3"/>
      <c r="D60" s="3"/>
      <c r="E60" s="3"/>
      <c r="F60" s="3"/>
      <c r="G60" s="3"/>
      <c r="H60" s="3"/>
      <c r="I60" s="3"/>
      <c r="J60" s="3"/>
      <c r="K60" s="3"/>
      <c r="L60" s="3"/>
      <c r="M60" s="3"/>
      <c r="N60" s="3"/>
    </row>
  </sheetData>
  <mergeCells count="7">
    <mergeCell ref="A1:F1"/>
    <mergeCell ref="A1:H1"/>
    <mergeCell ref="A1:K1"/>
    <mergeCell ref="A28:K28"/>
    <mergeCell ref="A13:F17"/>
    <mergeCell ref="A11:H15"/>
    <mergeCell ref="A22:K26"/>
  </mergeCell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55"/>
  <sheetViews>
    <sheetView workbookViewId="0">
      <selection activeCell="AB23" sqref="AB23"/>
    </sheetView>
  </sheetViews>
  <sheetFormatPr defaultColWidth="9" defaultRowHeight="16.8"/>
  <cols>
    <col min="1" max="1" width="18" customWidth="1"/>
    <col min="2" max="14" width="16" customWidth="1"/>
    <col min="16" max="24" width="16" customWidth="1"/>
    <col min="25" max="29" width="21" customWidth="1"/>
  </cols>
  <sheetData>
    <row r="1" ht="23.2" spans="1:26">
      <c r="A1" s="2" t="s">
        <v>509</v>
      </c>
      <c r="B1" s="2" t="s">
        <v>510</v>
      </c>
      <c r="C1" s="2" t="s">
        <v>510</v>
      </c>
      <c r="D1" s="2" t="s">
        <v>510</v>
      </c>
      <c r="E1" s="2" t="s">
        <v>510</v>
      </c>
      <c r="F1" s="2" t="s">
        <v>510</v>
      </c>
      <c r="G1" s="2" t="s">
        <v>510</v>
      </c>
      <c r="H1" s="2" t="s">
        <v>510</v>
      </c>
      <c r="I1" s="2" t="s">
        <v>510</v>
      </c>
      <c r="J1" s="2" t="s">
        <v>510</v>
      </c>
      <c r="K1" s="2" t="s">
        <v>510</v>
      </c>
      <c r="L1" s="2" t="s">
        <v>510</v>
      </c>
      <c r="M1" s="2" t="s">
        <v>510</v>
      </c>
      <c r="N1" s="2" t="s">
        <v>510</v>
      </c>
      <c r="O1" s="3"/>
      <c r="P1" s="2" t="s">
        <v>511</v>
      </c>
      <c r="Q1" s="2"/>
      <c r="R1" s="2"/>
      <c r="S1" s="2"/>
      <c r="T1" s="2"/>
      <c r="U1" s="2"/>
      <c r="V1" s="2"/>
      <c r="W1" s="2"/>
      <c r="X1" s="2"/>
      <c r="Y1" s="2"/>
      <c r="Z1" s="2"/>
    </row>
    <row r="2" spans="1:26">
      <c r="A2" s="3"/>
      <c r="B2" s="3"/>
      <c r="C2" s="3"/>
      <c r="D2" s="3"/>
      <c r="E2" s="3"/>
      <c r="F2" s="3"/>
      <c r="G2" s="3"/>
      <c r="H2" s="3"/>
      <c r="I2" s="3"/>
      <c r="J2" s="3"/>
      <c r="K2" s="3"/>
      <c r="L2" s="3"/>
      <c r="M2" s="3"/>
      <c r="N2" s="3"/>
      <c r="O2" s="3"/>
      <c r="P2" s="3"/>
      <c r="Q2" s="3"/>
      <c r="R2" s="3"/>
      <c r="S2" s="3"/>
      <c r="T2" s="3"/>
      <c r="U2" s="3"/>
      <c r="V2" s="3"/>
      <c r="W2" s="3"/>
      <c r="X2" s="3"/>
      <c r="Y2" s="3"/>
      <c r="Z2" s="3"/>
    </row>
    <row r="3" ht="34" spans="1:29">
      <c r="A3" s="4" t="s">
        <v>227</v>
      </c>
      <c r="B3" s="4" t="s">
        <v>512</v>
      </c>
      <c r="C3" s="4" t="s">
        <v>513</v>
      </c>
      <c r="D3" s="4" t="s">
        <v>514</v>
      </c>
      <c r="E3" s="4" t="s">
        <v>515</v>
      </c>
      <c r="F3" s="4" t="s">
        <v>516</v>
      </c>
      <c r="G3" s="4" t="s">
        <v>517</v>
      </c>
      <c r="H3" s="4" t="s">
        <v>518</v>
      </c>
      <c r="I3" s="4" t="s">
        <v>519</v>
      </c>
      <c r="J3" s="4" t="s">
        <v>520</v>
      </c>
      <c r="K3" s="4" t="s">
        <v>521</v>
      </c>
      <c r="L3" s="4" t="s">
        <v>522</v>
      </c>
      <c r="M3" s="4"/>
      <c r="N3" s="4"/>
      <c r="O3" s="3"/>
      <c r="P3" s="4" t="s">
        <v>227</v>
      </c>
      <c r="Q3" s="4" t="s">
        <v>523</v>
      </c>
      <c r="R3" s="4" t="s">
        <v>524</v>
      </c>
      <c r="S3" s="4" t="s">
        <v>525</v>
      </c>
      <c r="T3" s="4" t="s">
        <v>526</v>
      </c>
      <c r="U3" s="4" t="s">
        <v>20</v>
      </c>
      <c r="V3" s="4" t="s">
        <v>266</v>
      </c>
      <c r="W3" s="4" t="s">
        <v>527</v>
      </c>
      <c r="X3" s="4" t="s">
        <v>528</v>
      </c>
      <c r="Y3" s="4" t="s">
        <v>464</v>
      </c>
      <c r="Z3" s="4" t="s">
        <v>529</v>
      </c>
      <c r="AA3" s="4" t="s">
        <v>530</v>
      </c>
      <c r="AB3" s="4" t="s">
        <v>531</v>
      </c>
      <c r="AC3" s="4" t="s">
        <v>532</v>
      </c>
    </row>
    <row r="4" ht="17" spans="1:29">
      <c r="A4" s="3" t="str">
        <f>'Combined TOU Profile'!A5</f>
        <v>Oct 2023</v>
      </c>
      <c r="B4" s="26">
        <f>'Combined TOU Profile'!F5</f>
        <v>50017</v>
      </c>
      <c r="C4" s="26">
        <f>'Combined TOU Profile'!G5</f>
        <v>444</v>
      </c>
      <c r="D4" s="26">
        <f>'Combined TOU Profile'!H5</f>
        <v>1257</v>
      </c>
      <c r="E4" s="26">
        <f>'Combined TOU Profile'!I5</f>
        <v>23266</v>
      </c>
      <c r="F4" s="26">
        <f>'Combined TOU Profile'!J5</f>
        <v>25050</v>
      </c>
      <c r="G4" s="26">
        <f>'Combined TOU Profile'!M5</f>
        <v>552</v>
      </c>
      <c r="H4" s="14">
        <f>'Combined TOU Profile'!P5</f>
        <v>4394.39</v>
      </c>
      <c r="I4" s="14">
        <f>'Combined TOU Profile'!Q5</f>
        <v>14230.24</v>
      </c>
      <c r="J4" s="14">
        <f>'Combined TOU Profile'!S5</f>
        <v>1948.6</v>
      </c>
      <c r="K4" s="14">
        <f>'Combined TOU Profile'!R5</f>
        <v>20573.23</v>
      </c>
      <c r="L4" s="14">
        <f>INDEX('PV Production'!$G$5:$G$16,MATCH(A4,'PV Production'!$A$5:$A$16,0))</f>
        <v>54977.828</v>
      </c>
      <c r="M4" s="14"/>
      <c r="N4" s="14"/>
      <c r="O4" s="3"/>
      <c r="P4" s="3" t="str">
        <f t="shared" ref="P4:P15" si="0">A4</f>
        <v>Oct 2023</v>
      </c>
      <c r="Q4" s="26">
        <f t="shared" ref="Q4:Q15" si="1">B4</f>
        <v>50017</v>
      </c>
      <c r="R4" s="26">
        <f t="shared" ref="R4:R15" si="2">L4</f>
        <v>54977.828</v>
      </c>
      <c r="S4" s="26">
        <f>'PV-ESS Energy Flow'!E13+'PV-ESS Energy Flow'!I13</f>
        <v>51718</v>
      </c>
      <c r="T4" s="26">
        <f t="shared" ref="T4:T15" si="3">MAX(R4-S4,0)</f>
        <v>3259.828</v>
      </c>
      <c r="U4" s="26">
        <f t="shared" ref="U4:U15" si="4">G4</f>
        <v>552</v>
      </c>
      <c r="V4" s="14">
        <f>'PV-ESS Energy Flow'!P13</f>
        <v>4775.96685039649</v>
      </c>
      <c r="W4" s="14">
        <f>'PV-ESS Energy Flow'!O13</f>
        <v>2887.84984180445</v>
      </c>
      <c r="X4" s="14">
        <f>'PV-ESS Energy Flow'!Q13</f>
        <v>162.9914</v>
      </c>
      <c r="Y4" s="14">
        <f>'PV-ESS Energy Flow'!W13</f>
        <v>0</v>
      </c>
      <c r="Z4" s="14">
        <f t="shared" ref="Z4:Z15" si="5">MAX(K4-SUM(V4:Y4),0)</f>
        <v>12746.4219077991</v>
      </c>
      <c r="AA4" s="17">
        <f t="shared" ref="AA4:AA15" si="6">K4-Z4</f>
        <v>7826.80809220094</v>
      </c>
      <c r="AB4" s="28">
        <f>'PV-ESS Energy Flow'!R13</f>
        <v>0</v>
      </c>
      <c r="AC4" s="28">
        <f>'PV-ESS Energy Flow'!J13</f>
        <v>0</v>
      </c>
    </row>
    <row r="5" ht="17" spans="1:29">
      <c r="A5" s="3" t="str">
        <f>'Combined TOU Profile'!A6</f>
        <v>Nov 2023</v>
      </c>
      <c r="B5" s="26">
        <f>'Combined TOU Profile'!F6</f>
        <v>61096</v>
      </c>
      <c r="C5" s="26">
        <f>'Combined TOU Profile'!G6</f>
        <v>0</v>
      </c>
      <c r="D5" s="26">
        <f>'Combined TOU Profile'!H6</f>
        <v>1654</v>
      </c>
      <c r="E5" s="26">
        <f>'Combined TOU Profile'!I6</f>
        <v>7943</v>
      </c>
      <c r="F5" s="26">
        <f>'Combined TOU Profile'!J6</f>
        <v>51499</v>
      </c>
      <c r="G5" s="26">
        <f>'Combined TOU Profile'!M6</f>
        <v>622</v>
      </c>
      <c r="H5" s="14">
        <f>'Combined TOU Profile'!P6</f>
        <v>3045.26</v>
      </c>
      <c r="I5" s="14">
        <f>'Combined TOU Profile'!Q6</f>
        <v>15037.2</v>
      </c>
      <c r="J5" s="14">
        <f>'Combined TOU Profile'!S6</f>
        <v>3765.68</v>
      </c>
      <c r="K5" s="14">
        <f>'Combined TOU Profile'!R6</f>
        <v>21848.14</v>
      </c>
      <c r="L5" s="14">
        <f>INDEX('PV Production'!$G$5:$G$16,MATCH(A5,'PV Production'!$A$5:$A$16,0))</f>
        <v>42779.9</v>
      </c>
      <c r="M5" s="14"/>
      <c r="N5" s="14"/>
      <c r="O5" s="3"/>
      <c r="P5" s="3" t="str">
        <f t="shared" si="0"/>
        <v>Nov 2023</v>
      </c>
      <c r="Q5" s="26">
        <f t="shared" si="1"/>
        <v>61096</v>
      </c>
      <c r="R5" s="26">
        <f t="shared" si="2"/>
        <v>42779.9</v>
      </c>
      <c r="S5" s="26">
        <f>'PV-ESS Energy Flow'!E14+'PV-ESS Energy Flow'!I14</f>
        <v>42779.9</v>
      </c>
      <c r="T5" s="26">
        <f t="shared" si="3"/>
        <v>0</v>
      </c>
      <c r="U5" s="26">
        <f t="shared" si="4"/>
        <v>622</v>
      </c>
      <c r="V5" s="14">
        <f>'PV-ESS Energy Flow'!P14</f>
        <v>3950.56622961593</v>
      </c>
      <c r="W5" s="14">
        <f>'PV-ESS Energy Flow'!O14</f>
        <v>2623.63003215434</v>
      </c>
      <c r="X5" s="14">
        <f>'PV-ESS Energy Flow'!Q14</f>
        <v>0</v>
      </c>
      <c r="Y5" s="14">
        <f>'PV-ESS Energy Flow'!W14</f>
        <v>270.641702082673</v>
      </c>
      <c r="Z5" s="14">
        <f t="shared" si="5"/>
        <v>15003.3020361471</v>
      </c>
      <c r="AA5" s="17">
        <f t="shared" si="6"/>
        <v>6844.83796385295</v>
      </c>
      <c r="AB5" s="28">
        <f>'PV-ESS Energy Flow'!R14</f>
        <v>1837.77777777778</v>
      </c>
      <c r="AC5" s="28">
        <f>'PV-ESS Energy Flow'!J14</f>
        <v>1654</v>
      </c>
    </row>
    <row r="6" ht="17" spans="1:29">
      <c r="A6" s="3" t="str">
        <f>'Combined TOU Profile'!A7</f>
        <v>Dec 2023</v>
      </c>
      <c r="B6" s="26">
        <f>'Combined TOU Profile'!F7</f>
        <v>53252</v>
      </c>
      <c r="C6" s="26">
        <f>'Combined TOU Profile'!G7</f>
        <v>0</v>
      </c>
      <c r="D6" s="26">
        <f>'Combined TOU Profile'!H7</f>
        <v>2024</v>
      </c>
      <c r="E6" s="26">
        <f>'Combined TOU Profile'!I7</f>
        <v>9061</v>
      </c>
      <c r="F6" s="26">
        <f>'Combined TOU Profile'!J7</f>
        <v>42167</v>
      </c>
      <c r="G6" s="26">
        <f>'Combined TOU Profile'!M7</f>
        <v>513</v>
      </c>
      <c r="H6" s="14">
        <f>'Combined TOU Profile'!P7</f>
        <v>3003.59</v>
      </c>
      <c r="I6" s="14">
        <f>'Combined TOU Profile'!Q7</f>
        <v>13768.43</v>
      </c>
      <c r="J6" s="14">
        <f>'Combined TOU Profile'!S7</f>
        <v>2828.81</v>
      </c>
      <c r="K6" s="14">
        <f>'Combined TOU Profile'!R7</f>
        <v>19600.83</v>
      </c>
      <c r="L6" s="14">
        <f>INDEX('PV Production'!$G$5:$G$16,MATCH(A6,'PV Production'!$A$5:$A$16,0))</f>
        <v>36989.32</v>
      </c>
      <c r="M6" s="14"/>
      <c r="N6" s="14"/>
      <c r="O6" s="3"/>
      <c r="P6" s="3" t="str">
        <f t="shared" si="0"/>
        <v>Dec 2023</v>
      </c>
      <c r="Q6" s="26">
        <f t="shared" si="1"/>
        <v>53252</v>
      </c>
      <c r="R6" s="26">
        <f t="shared" si="2"/>
        <v>36989.32</v>
      </c>
      <c r="S6" s="26">
        <f>'PV-ESS Energy Flow'!E15+'PV-ESS Energy Flow'!I15</f>
        <v>36989.32</v>
      </c>
      <c r="T6" s="26">
        <f t="shared" si="3"/>
        <v>0</v>
      </c>
      <c r="U6" s="26">
        <f t="shared" si="4"/>
        <v>513</v>
      </c>
      <c r="V6" s="14">
        <f>'PV-ESS Energy Flow'!P15</f>
        <v>3415.82749021052</v>
      </c>
      <c r="W6" s="14">
        <f>'PV-ESS Energy Flow'!O15</f>
        <v>3154.30214424951</v>
      </c>
      <c r="X6" s="14">
        <f>'PV-ESS Energy Flow'!Q15</f>
        <v>0</v>
      </c>
      <c r="Y6" s="14">
        <f>'PV-ESS Energy Flow'!W15</f>
        <v>332.3537729346</v>
      </c>
      <c r="Z6" s="14">
        <f t="shared" si="5"/>
        <v>12698.3465926054</v>
      </c>
      <c r="AA6" s="17">
        <f t="shared" si="6"/>
        <v>6902.48340739464</v>
      </c>
      <c r="AB6" s="28">
        <f>'PV-ESS Energy Flow'!R15</f>
        <v>2248.88888888889</v>
      </c>
      <c r="AC6" s="28">
        <f>'PV-ESS Energy Flow'!J15</f>
        <v>2024</v>
      </c>
    </row>
    <row r="7" ht="17" spans="1:29">
      <c r="A7" s="3" t="str">
        <f>'Combined TOU Profile'!A8</f>
        <v>Jan 2024</v>
      </c>
      <c r="B7" s="26">
        <f>'Combined TOU Profile'!F8</f>
        <v>54844</v>
      </c>
      <c r="C7" s="26">
        <f>'Combined TOU Profile'!G8</f>
        <v>0</v>
      </c>
      <c r="D7" s="26">
        <f>'Combined TOU Profile'!H8</f>
        <v>2137</v>
      </c>
      <c r="E7" s="26">
        <f>'Combined TOU Profile'!I8</f>
        <v>9236</v>
      </c>
      <c r="F7" s="26">
        <f>'Combined TOU Profile'!J8</f>
        <v>43471</v>
      </c>
      <c r="G7" s="26">
        <f>'Combined TOU Profile'!M8</f>
        <v>655</v>
      </c>
      <c r="H7" s="14">
        <f>'Combined TOU Profile'!P8</f>
        <v>3229.29</v>
      </c>
      <c r="I7" s="14">
        <f>'Combined TOU Profile'!Q8</f>
        <v>16264.68</v>
      </c>
      <c r="J7" s="14">
        <f>'Combined TOU Profile'!S8</f>
        <v>3250.73</v>
      </c>
      <c r="K7" s="14">
        <f>'Combined TOU Profile'!R8</f>
        <v>22744.7</v>
      </c>
      <c r="L7" s="14">
        <f>INDEX('PV Production'!$G$5:$G$16,MATCH(A7,'PV Production'!$A$5:$A$16,0))</f>
        <v>43391.64</v>
      </c>
      <c r="M7" s="14"/>
      <c r="N7" s="14"/>
      <c r="O7" s="3"/>
      <c r="P7" s="3" t="str">
        <f t="shared" si="0"/>
        <v>Jan 2024</v>
      </c>
      <c r="Q7" s="26">
        <f t="shared" si="1"/>
        <v>54844</v>
      </c>
      <c r="R7" s="26">
        <f t="shared" si="2"/>
        <v>43391.64</v>
      </c>
      <c r="S7" s="26">
        <f>'PV-ESS Energy Flow'!E4+'PV-ESS Energy Flow'!I4</f>
        <v>43391.64</v>
      </c>
      <c r="T7" s="26">
        <f t="shared" si="3"/>
        <v>0</v>
      </c>
      <c r="U7" s="26">
        <f t="shared" si="4"/>
        <v>655</v>
      </c>
      <c r="V7" s="14">
        <f>'PV-ESS Energy Flow'!P4</f>
        <v>4007.05816590623</v>
      </c>
      <c r="W7" s="14">
        <f>'PV-ESS Energy Flow'!O4</f>
        <v>2643.67396946565</v>
      </c>
      <c r="X7" s="14">
        <f>'PV-ESS Energy Flow'!Q4</f>
        <v>0</v>
      </c>
      <c r="Y7" s="14">
        <f>'PV-ESS Energy Flow'!W4</f>
        <v>340.966798810957</v>
      </c>
      <c r="Z7" s="14">
        <f t="shared" si="5"/>
        <v>15753.0010658172</v>
      </c>
      <c r="AA7" s="17">
        <f t="shared" si="6"/>
        <v>6991.69893418284</v>
      </c>
      <c r="AB7" s="28">
        <f>'PV-ESS Energy Flow'!R4</f>
        <v>2374.44444444444</v>
      </c>
      <c r="AC7" s="28">
        <f>'PV-ESS Energy Flow'!J4</f>
        <v>2137</v>
      </c>
    </row>
    <row r="8" ht="17" spans="1:29">
      <c r="A8" s="3" t="str">
        <f>'Combined TOU Profile'!A9</f>
        <v>Feb 2024</v>
      </c>
      <c r="B8" s="26">
        <f>'Combined TOU Profile'!F9</f>
        <v>48926</v>
      </c>
      <c r="C8" s="26">
        <f>'Combined TOU Profile'!G9</f>
        <v>0</v>
      </c>
      <c r="D8" s="26">
        <f>'Combined TOU Profile'!H9</f>
        <v>1802</v>
      </c>
      <c r="E8" s="26">
        <f>'Combined TOU Profile'!I9</f>
        <v>7990</v>
      </c>
      <c r="F8" s="26">
        <f>'Combined TOU Profile'!J9</f>
        <v>39134</v>
      </c>
      <c r="G8" s="26">
        <f>'Combined TOU Profile'!M9</f>
        <v>640</v>
      </c>
      <c r="H8" s="14">
        <f>'Combined TOU Profile'!P9</f>
        <v>2906.09</v>
      </c>
      <c r="I8" s="14">
        <f>'Combined TOU Profile'!Q9</f>
        <v>16287.34</v>
      </c>
      <c r="J8" s="14">
        <f>'Combined TOU Profile'!S9</f>
        <v>2948.41</v>
      </c>
      <c r="K8" s="14">
        <f>'Combined TOU Profile'!R9</f>
        <v>22141.84</v>
      </c>
      <c r="L8" s="14">
        <f>INDEX('PV Production'!$G$5:$G$16,MATCH(A8,'PV Production'!$A$5:$A$16,0))</f>
        <v>46834.144</v>
      </c>
      <c r="M8" s="14"/>
      <c r="N8" s="14"/>
      <c r="O8" s="3"/>
      <c r="P8" s="3" t="str">
        <f t="shared" si="0"/>
        <v>Feb 2024</v>
      </c>
      <c r="Q8" s="26">
        <f t="shared" si="1"/>
        <v>48926</v>
      </c>
      <c r="R8" s="26">
        <f t="shared" si="2"/>
        <v>46834.144</v>
      </c>
      <c r="S8" s="26">
        <f>'PV-ESS Energy Flow'!E5+'PV-ESS Energy Flow'!I5</f>
        <v>46834.144</v>
      </c>
      <c r="T8" s="26">
        <f t="shared" si="3"/>
        <v>0</v>
      </c>
      <c r="U8" s="26">
        <f t="shared" si="4"/>
        <v>640</v>
      </c>
      <c r="V8" s="14">
        <f>'PV-ESS Energy Flow'!P5</f>
        <v>4324.96073341382</v>
      </c>
      <c r="W8" s="14">
        <f>'PV-ESS Energy Flow'!O5</f>
        <v>2702.971875</v>
      </c>
      <c r="X8" s="14">
        <f>'PV-ESS Energy Flow'!Q5</f>
        <v>0</v>
      </c>
      <c r="Y8" s="14">
        <f>'PV-ESS Energy Flow'!W5</f>
        <v>271.361093734917</v>
      </c>
      <c r="Z8" s="14">
        <f t="shared" si="5"/>
        <v>14842.5462978513</v>
      </c>
      <c r="AA8" s="17">
        <f t="shared" si="6"/>
        <v>7299.29370214873</v>
      </c>
      <c r="AB8" s="28">
        <f>'PV-ESS Energy Flow'!R5</f>
        <v>2002.22222222222</v>
      </c>
      <c r="AC8" s="28">
        <f>'PV-ESS Energy Flow'!J5</f>
        <v>1802</v>
      </c>
    </row>
    <row r="9" ht="17" spans="1:29">
      <c r="A9" s="3" t="str">
        <f>'Combined TOU Profile'!A10</f>
        <v>Mar 2024</v>
      </c>
      <c r="B9" s="26">
        <f>'Combined TOU Profile'!F10</f>
        <v>52449</v>
      </c>
      <c r="C9" s="26">
        <f>'Combined TOU Profile'!G10</f>
        <v>0</v>
      </c>
      <c r="D9" s="26">
        <f>'Combined TOU Profile'!H10</f>
        <v>1437</v>
      </c>
      <c r="E9" s="26">
        <f>'Combined TOU Profile'!I10</f>
        <v>7826</v>
      </c>
      <c r="F9" s="26">
        <f>'Combined TOU Profile'!J10</f>
        <v>43186</v>
      </c>
      <c r="G9" s="26">
        <f>'Combined TOU Profile'!M10</f>
        <v>500</v>
      </c>
      <c r="H9" s="14">
        <f>'Combined TOU Profile'!P10</f>
        <v>2933.55</v>
      </c>
      <c r="I9" s="14">
        <f>'Combined TOU Profile'!Q10</f>
        <v>14743.12</v>
      </c>
      <c r="J9" s="14">
        <f>'Combined TOU Profile'!S10</f>
        <v>2706.73</v>
      </c>
      <c r="K9" s="14">
        <f>'Combined TOU Profile'!R10</f>
        <v>20383.4</v>
      </c>
      <c r="L9" s="14">
        <f>INDEX('PV Production'!$G$5:$G$16,MATCH(A9,'PV Production'!$A$5:$A$16,0))</f>
        <v>61748.868</v>
      </c>
      <c r="M9" s="14"/>
      <c r="N9" s="14"/>
      <c r="O9" s="3"/>
      <c r="P9" s="3" t="str">
        <f t="shared" si="0"/>
        <v>Mar 2024</v>
      </c>
      <c r="Q9" s="26">
        <f t="shared" si="1"/>
        <v>52449</v>
      </c>
      <c r="R9" s="26">
        <f t="shared" si="2"/>
        <v>61748.868</v>
      </c>
      <c r="S9" s="26">
        <f>'PV-ESS Energy Flow'!E6+'PV-ESS Energy Flow'!I6</f>
        <v>53886</v>
      </c>
      <c r="T9" s="26">
        <f t="shared" si="3"/>
        <v>7862.868</v>
      </c>
      <c r="U9" s="26">
        <f t="shared" si="4"/>
        <v>500</v>
      </c>
      <c r="V9" s="14">
        <f>'PV-ESS Energy Flow'!P6</f>
        <v>4976.17366681746</v>
      </c>
      <c r="W9" s="14">
        <f>'PV-ESS Energy Flow'!O6</f>
        <v>3303.27623529412</v>
      </c>
      <c r="X9" s="14">
        <f>'PV-ESS Energy Flow'!Q6</f>
        <v>393.1434</v>
      </c>
      <c r="Y9" s="14">
        <f>'PV-ESS Energy Flow'!W6</f>
        <v>0</v>
      </c>
      <c r="Z9" s="14">
        <f t="shared" si="5"/>
        <v>11710.8066978884</v>
      </c>
      <c r="AA9" s="17">
        <f t="shared" si="6"/>
        <v>8672.59330211158</v>
      </c>
      <c r="AB9" s="28">
        <f>'PV-ESS Energy Flow'!R6</f>
        <v>0</v>
      </c>
      <c r="AC9" s="28">
        <f>'PV-ESS Energy Flow'!J6</f>
        <v>0</v>
      </c>
    </row>
    <row r="10" ht="17" spans="1:29">
      <c r="A10" s="3" t="str">
        <f>'Combined TOU Profile'!A11</f>
        <v>Apr 2024</v>
      </c>
      <c r="B10" s="26">
        <f>'Combined TOU Profile'!F11</f>
        <v>40752</v>
      </c>
      <c r="C10" s="26">
        <f>'Combined TOU Profile'!G11</f>
        <v>0</v>
      </c>
      <c r="D10" s="26">
        <f>'Combined TOU Profile'!H11</f>
        <v>1317</v>
      </c>
      <c r="E10" s="26">
        <f>'Combined TOU Profile'!I11</f>
        <v>6094</v>
      </c>
      <c r="F10" s="26">
        <f>'Combined TOU Profile'!J11</f>
        <v>33341</v>
      </c>
      <c r="G10" s="26">
        <f>'Combined TOU Profile'!M11</f>
        <v>442</v>
      </c>
      <c r="H10" s="14">
        <f>'Combined TOU Profile'!P11</f>
        <v>2317.62</v>
      </c>
      <c r="I10" s="14">
        <f>'Combined TOU Profile'!Q11</f>
        <v>12325.74</v>
      </c>
      <c r="J10" s="14">
        <f>'Combined TOU Profile'!S11</f>
        <v>2416.7</v>
      </c>
      <c r="K10" s="14">
        <f>'Combined TOU Profile'!R11</f>
        <v>17060.06</v>
      </c>
      <c r="L10" s="14">
        <f>INDEX('PV Production'!$G$5:$G$16,MATCH(A10,'PV Production'!$A$5:$A$16,0))</f>
        <v>69502.882</v>
      </c>
      <c r="M10" s="14"/>
      <c r="N10" s="14"/>
      <c r="O10" s="3"/>
      <c r="P10" s="3" t="str">
        <f t="shared" si="0"/>
        <v>Apr 2024</v>
      </c>
      <c r="Q10" s="26">
        <f t="shared" si="1"/>
        <v>40752</v>
      </c>
      <c r="R10" s="26">
        <f t="shared" si="2"/>
        <v>69502.882</v>
      </c>
      <c r="S10" s="26">
        <f>'PV-ESS Energy Flow'!E7+'PV-ESS Energy Flow'!I7</f>
        <v>42069</v>
      </c>
      <c r="T10" s="26">
        <f t="shared" si="3"/>
        <v>27433.882</v>
      </c>
      <c r="U10" s="26">
        <f t="shared" si="4"/>
        <v>442</v>
      </c>
      <c r="V10" s="14">
        <f>'PV-ESS Energy Flow'!P7</f>
        <v>3884.91723247863</v>
      </c>
      <c r="W10" s="14">
        <f>'PV-ESS Energy Flow'!O7</f>
        <v>3210.75665158371</v>
      </c>
      <c r="X10" s="14">
        <f>'PV-ESS Energy Flow'!Q7</f>
        <v>1371.6941</v>
      </c>
      <c r="Y10" s="14">
        <f>'PV-ESS Energy Flow'!W7</f>
        <v>0</v>
      </c>
      <c r="Z10" s="14">
        <f t="shared" si="5"/>
        <v>8592.69201593766</v>
      </c>
      <c r="AA10" s="17">
        <f t="shared" si="6"/>
        <v>8467.36798406234</v>
      </c>
      <c r="AB10" s="28">
        <f>'PV-ESS Energy Flow'!R7</f>
        <v>0</v>
      </c>
      <c r="AC10" s="28">
        <f>'PV-ESS Energy Flow'!J7</f>
        <v>0</v>
      </c>
    </row>
    <row r="11" ht="17" spans="1:29">
      <c r="A11" s="3" t="str">
        <f>'Combined TOU Profile'!A12</f>
        <v>May 2024</v>
      </c>
      <c r="B11" s="26">
        <f>'Combined TOU Profile'!F12</f>
        <v>51220</v>
      </c>
      <c r="C11" s="26">
        <f>'Combined TOU Profile'!G12</f>
        <v>403.833237303482</v>
      </c>
      <c r="D11" s="26">
        <f>'Combined TOU Profile'!H12</f>
        <v>876.329080582764</v>
      </c>
      <c r="E11" s="26">
        <f>'Combined TOU Profile'!I12</f>
        <v>7752.36085274508</v>
      </c>
      <c r="F11" s="26">
        <f>'Combined TOU Profile'!J12</f>
        <v>42187.4768293687</v>
      </c>
      <c r="G11" s="26">
        <f>'Combined TOU Profile'!M12</f>
        <v>466</v>
      </c>
      <c r="H11" s="14">
        <f>'Combined TOU Profile'!P12</f>
        <v>3298.40463906494</v>
      </c>
      <c r="I11" s="14">
        <f>'Combined TOU Profile'!Q12</f>
        <v>12968.12</v>
      </c>
      <c r="J11" s="14">
        <f>'Combined TOU Profile'!S12</f>
        <v>2217.69536093506</v>
      </c>
      <c r="K11" s="14">
        <f>'Combined TOU Profile'!R12</f>
        <v>18484.22</v>
      </c>
      <c r="L11" s="14">
        <f>INDEX('PV Production'!$G$5:$G$16,MATCH(A11,'PV Production'!$A$5:$A$16,0))</f>
        <v>76926.724</v>
      </c>
      <c r="M11" s="14"/>
      <c r="N11" s="14"/>
      <c r="O11" s="3"/>
      <c r="P11" s="3" t="str">
        <f t="shared" si="0"/>
        <v>May 2024</v>
      </c>
      <c r="Q11" s="26">
        <f t="shared" si="1"/>
        <v>51220</v>
      </c>
      <c r="R11" s="26">
        <f t="shared" si="2"/>
        <v>76926.724</v>
      </c>
      <c r="S11" s="26">
        <f>'PV-ESS Energy Flow'!E8+'PV-ESS Energy Flow'!I8</f>
        <v>52500.1623178863</v>
      </c>
      <c r="T11" s="26">
        <f t="shared" si="3"/>
        <v>24426.5616821138</v>
      </c>
      <c r="U11" s="26">
        <f t="shared" si="4"/>
        <v>466</v>
      </c>
      <c r="V11" s="14">
        <f>'PV-ESS Energy Flow'!P8</f>
        <v>4848.19666016976</v>
      </c>
      <c r="W11" s="14">
        <f>'PV-ESS Energy Flow'!O8</f>
        <v>3091.30180257511</v>
      </c>
      <c r="X11" s="14">
        <f>'PV-ESS Energy Flow'!Q8</f>
        <v>1221.32808410569</v>
      </c>
      <c r="Y11" s="14">
        <f>'PV-ESS Energy Flow'!W8</f>
        <v>0</v>
      </c>
      <c r="Z11" s="14">
        <f t="shared" si="5"/>
        <v>9323.39345314944</v>
      </c>
      <c r="AA11" s="17">
        <f t="shared" si="6"/>
        <v>9160.82654685056</v>
      </c>
      <c r="AB11" s="28">
        <f>'PV-ESS Energy Flow'!R8</f>
        <v>0</v>
      </c>
      <c r="AC11" s="28">
        <f>'PV-ESS Energy Flow'!J8</f>
        <v>0</v>
      </c>
    </row>
    <row r="12" ht="17" spans="1:29">
      <c r="A12" s="3" t="str">
        <f>'Combined TOU Profile'!A13</f>
        <v>Jun 2024</v>
      </c>
      <c r="B12" s="26">
        <f>'Combined TOU Profile'!F13</f>
        <v>50744</v>
      </c>
      <c r="C12" s="26">
        <f>'Combined TOU Profile'!G13</f>
        <v>1008</v>
      </c>
      <c r="D12" s="26">
        <f>'Combined TOU Profile'!H13</f>
        <v>993</v>
      </c>
      <c r="E12" s="26">
        <f>'Combined TOU Profile'!I13</f>
        <v>32110</v>
      </c>
      <c r="F12" s="26">
        <f>'Combined TOU Profile'!J13</f>
        <v>16633</v>
      </c>
      <c r="G12" s="26">
        <f>'Combined TOU Profile'!M13</f>
        <v>471</v>
      </c>
      <c r="H12" s="14">
        <f>'Combined TOU Profile'!P13</f>
        <v>5727.94</v>
      </c>
      <c r="I12" s="14">
        <f>'Combined TOU Profile'!Q13</f>
        <v>13151.58</v>
      </c>
      <c r="J12" s="14">
        <f>'Combined TOU Profile'!S13</f>
        <v>1894.9</v>
      </c>
      <c r="K12" s="14">
        <f>'Combined TOU Profile'!R13</f>
        <v>20774.42</v>
      </c>
      <c r="L12" s="14">
        <f>INDEX('PV Production'!$G$5:$G$16,MATCH(A12,'PV Production'!$A$5:$A$16,0))</f>
        <v>76305.766</v>
      </c>
      <c r="M12" s="14"/>
      <c r="N12" s="14"/>
      <c r="O12" s="3"/>
      <c r="P12" s="3" t="str">
        <f t="shared" si="0"/>
        <v>Jun 2024</v>
      </c>
      <c r="Q12" s="26">
        <f t="shared" si="1"/>
        <v>50744</v>
      </c>
      <c r="R12" s="26">
        <f t="shared" si="2"/>
        <v>76305.766</v>
      </c>
      <c r="S12" s="26">
        <f>'PV-ESS Energy Flow'!E9+'PV-ESS Energy Flow'!I9</f>
        <v>52745</v>
      </c>
      <c r="T12" s="26">
        <f t="shared" si="3"/>
        <v>23560.766</v>
      </c>
      <c r="U12" s="26">
        <f t="shared" si="4"/>
        <v>471</v>
      </c>
      <c r="V12" s="14">
        <f>'PV-ESS Energy Flow'!P9</f>
        <v>4870.80651850735</v>
      </c>
      <c r="W12" s="14">
        <f>'PV-ESS Energy Flow'!O9</f>
        <v>3039.46492569002</v>
      </c>
      <c r="X12" s="14">
        <f>'PV-ESS Energy Flow'!Q9</f>
        <v>1178.0383</v>
      </c>
      <c r="Y12" s="14">
        <f>'PV-ESS Energy Flow'!W9</f>
        <v>0</v>
      </c>
      <c r="Z12" s="14">
        <f t="shared" si="5"/>
        <v>11686.1102558026</v>
      </c>
      <c r="AA12" s="17">
        <f t="shared" si="6"/>
        <v>9088.30974419737</v>
      </c>
      <c r="AB12" s="28">
        <f>'PV-ESS Energy Flow'!R9</f>
        <v>0</v>
      </c>
      <c r="AC12" s="28">
        <f>'PV-ESS Energy Flow'!J9</f>
        <v>0</v>
      </c>
    </row>
    <row r="13" ht="17" spans="1:29">
      <c r="A13" s="3" t="str">
        <f>'Combined TOU Profile'!A14</f>
        <v>Jul 2024</v>
      </c>
      <c r="B13" s="26">
        <f>'Combined TOU Profile'!F14</f>
        <v>81109</v>
      </c>
      <c r="C13" s="26">
        <f>'Combined TOU Profile'!G14</f>
        <v>2075</v>
      </c>
      <c r="D13" s="26">
        <f>'Combined TOU Profile'!H14</f>
        <v>723</v>
      </c>
      <c r="E13" s="26">
        <f>'Combined TOU Profile'!I14</f>
        <v>78311</v>
      </c>
      <c r="F13" s="26">
        <f>'Combined TOU Profile'!J14</f>
        <v>0</v>
      </c>
      <c r="G13" s="26">
        <f>'Combined TOU Profile'!M14</f>
        <v>725</v>
      </c>
      <c r="H13" s="14">
        <f>'Combined TOU Profile'!P14</f>
        <v>11449.52</v>
      </c>
      <c r="I13" s="14">
        <f>'Combined TOU Profile'!Q14</f>
        <v>20856.59</v>
      </c>
      <c r="J13" s="14">
        <f>'Combined TOU Profile'!S14</f>
        <v>1207.97</v>
      </c>
      <c r="K13" s="14">
        <f>'Combined TOU Profile'!R14</f>
        <v>33514.08</v>
      </c>
      <c r="L13" s="14">
        <f>INDEX('PV Production'!$G$5:$G$16,MATCH(A13,'PV Production'!$A$5:$A$16,0))</f>
        <v>70470.772</v>
      </c>
      <c r="M13" s="14"/>
      <c r="N13" s="14"/>
      <c r="O13" s="3"/>
      <c r="P13" s="3" t="str">
        <f t="shared" si="0"/>
        <v>Jul 2024</v>
      </c>
      <c r="Q13" s="26">
        <f t="shared" si="1"/>
        <v>81109</v>
      </c>
      <c r="R13" s="26">
        <f t="shared" si="2"/>
        <v>70470.772</v>
      </c>
      <c r="S13" s="26">
        <f>'PV-ESS Energy Flow'!E10+'PV-ESS Energy Flow'!I10</f>
        <v>70470.772</v>
      </c>
      <c r="T13" s="26">
        <f t="shared" si="3"/>
        <v>0</v>
      </c>
      <c r="U13" s="26">
        <f t="shared" si="4"/>
        <v>725</v>
      </c>
      <c r="V13" s="14">
        <f>'PV-ESS Energy Flow'!P10</f>
        <v>6507.71628821395</v>
      </c>
      <c r="W13" s="14">
        <f>'PV-ESS Energy Flow'!O10</f>
        <v>3690.6724137931</v>
      </c>
      <c r="X13" s="14">
        <f>'PV-ESS Energy Flow'!Q10</f>
        <v>0</v>
      </c>
      <c r="Y13" s="14">
        <f>'PV-ESS Energy Flow'!W10</f>
        <v>1403.16391565402</v>
      </c>
      <c r="Z13" s="14">
        <f t="shared" si="5"/>
        <v>21912.5273823389</v>
      </c>
      <c r="AA13" s="17">
        <f t="shared" si="6"/>
        <v>11601.5526176611</v>
      </c>
      <c r="AB13" s="28">
        <f>'PV-ESS Energy Flow'!R10</f>
        <v>3108.88888888889</v>
      </c>
      <c r="AC13" s="28">
        <f>'PV-ESS Energy Flow'!J10</f>
        <v>2798</v>
      </c>
    </row>
    <row r="14" ht="17" spans="1:29">
      <c r="A14" s="3" t="str">
        <f>'Combined TOU Profile'!A15</f>
        <v>Aug 2024</v>
      </c>
      <c r="B14" s="26">
        <f>'Combined TOU Profile'!F15</f>
        <v>80723</v>
      </c>
      <c r="C14" s="26">
        <f>'Combined TOU Profile'!G15</f>
        <v>4892</v>
      </c>
      <c r="D14" s="26">
        <f>'Combined TOU Profile'!H15</f>
        <v>631</v>
      </c>
      <c r="E14" s="26">
        <f>'Combined TOU Profile'!I15</f>
        <v>75200</v>
      </c>
      <c r="F14" s="26">
        <f>'Combined TOU Profile'!J15</f>
        <v>0</v>
      </c>
      <c r="G14" s="26">
        <f>'Combined TOU Profile'!M15</f>
        <v>705</v>
      </c>
      <c r="H14" s="14">
        <f>'Combined TOU Profile'!P15</f>
        <v>11656.92</v>
      </c>
      <c r="I14" s="14">
        <f>'Combined TOU Profile'!Q15</f>
        <v>21310.7</v>
      </c>
      <c r="J14" s="14">
        <f>'Combined TOU Profile'!S15</f>
        <v>1162.57</v>
      </c>
      <c r="K14" s="14">
        <f>'Combined TOU Profile'!R15</f>
        <v>34130.19</v>
      </c>
      <c r="L14" s="14">
        <f>INDEX('PV Production'!$G$5:$G$16,MATCH(A14,'PV Production'!$A$5:$A$16,0))</f>
        <v>69633.61</v>
      </c>
      <c r="M14" s="14"/>
      <c r="N14" s="14"/>
      <c r="O14" s="3"/>
      <c r="P14" s="3" t="str">
        <f t="shared" si="0"/>
        <v>Aug 2024</v>
      </c>
      <c r="Q14" s="26">
        <f t="shared" si="1"/>
        <v>80723</v>
      </c>
      <c r="R14" s="26">
        <f t="shared" si="2"/>
        <v>69633.61</v>
      </c>
      <c r="S14" s="26">
        <f>'PV-ESS Energy Flow'!E11+'PV-ESS Energy Flow'!I11</f>
        <v>69633.61</v>
      </c>
      <c r="T14" s="26">
        <f t="shared" si="3"/>
        <v>0</v>
      </c>
      <c r="U14" s="26">
        <f t="shared" si="4"/>
        <v>705</v>
      </c>
      <c r="V14" s="14">
        <f>'PV-ESS Energy Flow'!P11</f>
        <v>6430.40746033175</v>
      </c>
      <c r="W14" s="14">
        <f>'PV-ESS Energy Flow'!O11</f>
        <v>4235.22340425532</v>
      </c>
      <c r="X14" s="14">
        <f>'PV-ESS Energy Flow'!Q11</f>
        <v>0</v>
      </c>
      <c r="Y14" s="14">
        <f>'PV-ESS Energy Flow'!W11</f>
        <v>1352.61778224218</v>
      </c>
      <c r="Z14" s="14">
        <f t="shared" si="5"/>
        <v>22111.9413531708</v>
      </c>
      <c r="AA14" s="17">
        <f t="shared" si="6"/>
        <v>12018.2486468293</v>
      </c>
      <c r="AB14" s="28">
        <f>'PV-ESS Energy Flow'!R11</f>
        <v>6136.66666666667</v>
      </c>
      <c r="AC14" s="28">
        <f>'PV-ESS Energy Flow'!J11</f>
        <v>5523</v>
      </c>
    </row>
    <row r="15" ht="17" spans="1:29">
      <c r="A15" s="3" t="str">
        <f>'Combined TOU Profile'!A16</f>
        <v>Sep 2024</v>
      </c>
      <c r="B15" s="26">
        <f>'Combined TOU Profile'!F16</f>
        <v>84369</v>
      </c>
      <c r="C15" s="26">
        <f>'Combined TOU Profile'!G16</f>
        <v>3782</v>
      </c>
      <c r="D15" s="26">
        <f>'Combined TOU Profile'!H16</f>
        <v>629</v>
      </c>
      <c r="E15" s="26">
        <f>'Combined TOU Profile'!I16</f>
        <v>79958</v>
      </c>
      <c r="F15" s="26">
        <f>'Combined TOU Profile'!J16</f>
        <v>0</v>
      </c>
      <c r="G15" s="26">
        <f>'Combined TOU Profile'!M16</f>
        <v>730</v>
      </c>
      <c r="H15" s="14">
        <f>'Combined TOU Profile'!P16</f>
        <v>11557.23</v>
      </c>
      <c r="I15" s="14">
        <f>'Combined TOU Profile'!Q16</f>
        <v>22683.43</v>
      </c>
      <c r="J15" s="14">
        <f>'Combined TOU Profile'!S16</f>
        <v>1236.34</v>
      </c>
      <c r="K15" s="14">
        <f>'Combined TOU Profile'!R16</f>
        <v>35477</v>
      </c>
      <c r="L15" s="14">
        <f>INDEX('PV Production'!$G$5:$G$16,MATCH(A15,'PV Production'!$A$5:$A$16,0))</f>
        <v>60646.06</v>
      </c>
      <c r="M15" s="14"/>
      <c r="N15" s="14"/>
      <c r="O15" s="3"/>
      <c r="P15" s="3" t="str">
        <f t="shared" si="0"/>
        <v>Sep 2024</v>
      </c>
      <c r="Q15" s="26">
        <f t="shared" si="1"/>
        <v>84369</v>
      </c>
      <c r="R15" s="26">
        <f t="shared" si="2"/>
        <v>60646.06</v>
      </c>
      <c r="S15" s="26">
        <f>'PV-ESS Energy Flow'!E12+'PV-ESS Energy Flow'!I12</f>
        <v>60646.06</v>
      </c>
      <c r="T15" s="26">
        <f t="shared" si="3"/>
        <v>0</v>
      </c>
      <c r="U15" s="26">
        <f t="shared" si="4"/>
        <v>730</v>
      </c>
      <c r="V15" s="14">
        <f>'PV-ESS Energy Flow'!P12</f>
        <v>5600.44031414897</v>
      </c>
      <c r="W15" s="14">
        <f>'PV-ESS Energy Flow'!O12</f>
        <v>4789.6301369863</v>
      </c>
      <c r="X15" s="14">
        <f>'PV-ESS Energy Flow'!Q12</f>
        <v>0</v>
      </c>
      <c r="Y15" s="14">
        <f>'PV-ESS Energy Flow'!W12</f>
        <v>1041.53359235597</v>
      </c>
      <c r="Z15" s="14">
        <f t="shared" si="5"/>
        <v>24045.3959565088</v>
      </c>
      <c r="AA15" s="17">
        <f t="shared" si="6"/>
        <v>11431.6040434912</v>
      </c>
      <c r="AB15" s="28">
        <f>'PV-ESS Energy Flow'!R12</f>
        <v>4901.11111111111</v>
      </c>
      <c r="AC15" s="28">
        <f>'PV-ESS Energy Flow'!J12</f>
        <v>4411</v>
      </c>
    </row>
    <row r="16" ht="17" spans="1:29">
      <c r="A16" s="10" t="s">
        <v>224</v>
      </c>
      <c r="B16" s="27">
        <f>SUM(B4:B15)</f>
        <v>709501</v>
      </c>
      <c r="C16" s="27">
        <f>SUM(C4:C15)</f>
        <v>12604.8332373035</v>
      </c>
      <c r="D16" s="27">
        <f>SUM(D4:D15)</f>
        <v>15480.3290805828</v>
      </c>
      <c r="E16" s="27">
        <f>SUM(E4:E15)</f>
        <v>344747.360852745</v>
      </c>
      <c r="F16" s="27">
        <f>SUM(F4:F15)</f>
        <v>336668.476829369</v>
      </c>
      <c r="G16" s="27">
        <f>MAX(G4:G15)</f>
        <v>730</v>
      </c>
      <c r="H16" s="15">
        <f>SUM(H4:H15)</f>
        <v>65519.8046390649</v>
      </c>
      <c r="I16" s="15">
        <f>SUM(I4:I15)</f>
        <v>193627.17</v>
      </c>
      <c r="J16" s="15">
        <f>SUM(J4:J15)</f>
        <v>27585.1353609351</v>
      </c>
      <c r="K16" s="15">
        <f>SUM(K4:K15)</f>
        <v>286732.11</v>
      </c>
      <c r="L16" s="15">
        <f>SUM(L4:L15)</f>
        <v>710207.514</v>
      </c>
      <c r="M16" s="15"/>
      <c r="N16" s="15"/>
      <c r="O16" s="3"/>
      <c r="P16" s="10" t="s">
        <v>224</v>
      </c>
      <c r="Q16" s="27">
        <f>SUM(Q4:Q15)</f>
        <v>709501</v>
      </c>
      <c r="R16" s="27">
        <f>SUM(R4:R15)</f>
        <v>710207.514</v>
      </c>
      <c r="S16" s="27">
        <f>SUM(S4:S15)</f>
        <v>623663.608317886</v>
      </c>
      <c r="T16" s="27">
        <f>SUM(T4:T15)</f>
        <v>86543.9056821137</v>
      </c>
      <c r="U16" s="27">
        <f>MAX(U4:U15)</f>
        <v>730</v>
      </c>
      <c r="V16" s="15">
        <f t="shared" ref="V16:AC16" si="7">SUM(V4:V15)</f>
        <v>57593.0376102109</v>
      </c>
      <c r="W16" s="15">
        <f t="shared" si="7"/>
        <v>39372.7534328516</v>
      </c>
      <c r="X16" s="15">
        <f t="shared" si="7"/>
        <v>4327.19528410569</v>
      </c>
      <c r="Y16" s="15">
        <f t="shared" si="7"/>
        <v>5012.63865781531</v>
      </c>
      <c r="Z16" s="15">
        <f t="shared" si="7"/>
        <v>180426.485015016</v>
      </c>
      <c r="AA16" s="17">
        <f t="shared" si="7"/>
        <v>106305.624984984</v>
      </c>
      <c r="AB16" s="28">
        <f t="shared" si="7"/>
        <v>22610</v>
      </c>
      <c r="AC16" s="28">
        <f t="shared" si="7"/>
        <v>20349</v>
      </c>
    </row>
    <row r="17" spans="1:26">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sheetData>
  <mergeCells count="2">
    <mergeCell ref="A1:N1"/>
    <mergeCell ref="P1:Z1"/>
  </mergeCells>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60"/>
  <sheetViews>
    <sheetView topLeftCell="A20" workbookViewId="0">
      <selection activeCell="B11" sqref="B11"/>
    </sheetView>
  </sheetViews>
  <sheetFormatPr defaultColWidth="9" defaultRowHeight="16.8"/>
  <cols>
    <col min="1" max="1" width="25" customWidth="1"/>
    <col min="2" max="32" width="11" customWidth="1"/>
  </cols>
  <sheetData>
    <row r="1" ht="22" spans="1:26">
      <c r="A1" s="19" t="s">
        <v>533</v>
      </c>
      <c r="B1" s="19"/>
      <c r="C1" s="19"/>
      <c r="D1" s="19"/>
      <c r="E1" s="19"/>
      <c r="F1" s="19"/>
      <c r="G1" s="19"/>
      <c r="H1" s="19"/>
      <c r="I1" s="19"/>
      <c r="J1" s="19"/>
      <c r="K1" s="19"/>
      <c r="L1" s="19"/>
      <c r="M1" s="19"/>
      <c r="N1" s="19"/>
      <c r="O1" s="19"/>
      <c r="P1" s="19"/>
      <c r="Q1" s="19"/>
      <c r="R1" s="3"/>
      <c r="S1" s="3"/>
      <c r="T1" s="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ht="17" spans="1:26">
      <c r="A3" s="4" t="s">
        <v>534</v>
      </c>
      <c r="B3" s="4" t="s">
        <v>131</v>
      </c>
      <c r="C3" s="3"/>
      <c r="D3" s="4"/>
      <c r="E3" s="4"/>
      <c r="F3" s="4"/>
      <c r="G3" s="4"/>
      <c r="H3" s="4"/>
      <c r="I3" s="4"/>
      <c r="J3" s="4"/>
      <c r="K3" s="3"/>
      <c r="L3" s="3"/>
      <c r="M3" s="3"/>
      <c r="N3" s="3"/>
      <c r="O3" s="3"/>
      <c r="P3" s="3"/>
      <c r="Q3" s="3"/>
      <c r="R3" s="3"/>
      <c r="S3" s="3"/>
      <c r="T3" s="3"/>
      <c r="U3" s="3"/>
      <c r="V3" s="3"/>
      <c r="W3" s="3"/>
      <c r="X3" s="3"/>
      <c r="Y3" s="3"/>
      <c r="Z3" s="3"/>
    </row>
    <row r="4" ht="17" spans="1:26">
      <c r="A4" s="3" t="s">
        <v>397</v>
      </c>
      <c r="B4" s="14">
        <f>'3Rebates Incentives'!D4</f>
        <v>1074972.3</v>
      </c>
      <c r="C4" s="3"/>
      <c r="D4" s="3"/>
      <c r="E4" s="14"/>
      <c r="F4" s="14"/>
      <c r="G4" s="14"/>
      <c r="H4" s="14"/>
      <c r="I4" s="14"/>
      <c r="J4" s="14"/>
      <c r="K4" s="3"/>
      <c r="L4" s="3"/>
      <c r="M4" s="3"/>
      <c r="N4" s="3"/>
      <c r="O4" s="3"/>
      <c r="P4" s="3"/>
      <c r="Q4" s="3"/>
      <c r="R4" s="3"/>
      <c r="S4" s="3"/>
      <c r="T4" s="3"/>
      <c r="U4" s="3"/>
      <c r="V4" s="3"/>
      <c r="W4" s="3"/>
      <c r="X4" s="3"/>
      <c r="Y4" s="3"/>
      <c r="Z4" s="3"/>
    </row>
    <row r="5" ht="34" spans="1:26">
      <c r="A5" s="3" t="s">
        <v>535</v>
      </c>
      <c r="B5" s="14">
        <f>'3Rebates Incentives'!H16</f>
        <v>322491.69</v>
      </c>
      <c r="C5" s="3"/>
      <c r="D5" s="3"/>
      <c r="E5" s="14"/>
      <c r="F5" s="14"/>
      <c r="G5" s="14"/>
      <c r="H5" s="14"/>
      <c r="I5" s="14"/>
      <c r="J5" s="14"/>
      <c r="K5" s="3"/>
      <c r="L5" s="3"/>
      <c r="M5" s="3"/>
      <c r="N5" s="3"/>
      <c r="O5" s="3"/>
      <c r="P5" s="3"/>
      <c r="Q5" s="3"/>
      <c r="R5" s="3"/>
      <c r="S5" s="3"/>
      <c r="T5" s="3"/>
      <c r="U5" s="3"/>
      <c r="V5" s="3"/>
      <c r="W5" s="3"/>
      <c r="X5" s="3"/>
      <c r="Y5" s="3"/>
      <c r="Z5" s="3"/>
    </row>
    <row r="6" ht="34" spans="1:26">
      <c r="A6" s="3" t="s">
        <v>536</v>
      </c>
      <c r="B6" s="14">
        <f>'3Rebates Incentives'!H17</f>
        <v>274117.9365</v>
      </c>
      <c r="C6" s="3"/>
      <c r="D6" s="3"/>
      <c r="E6" s="14"/>
      <c r="F6" s="14"/>
      <c r="G6" s="14"/>
      <c r="H6" s="14"/>
      <c r="I6" s="14"/>
      <c r="J6" s="14"/>
      <c r="K6" s="3"/>
      <c r="L6" s="3"/>
      <c r="M6" s="3"/>
      <c r="N6" s="3"/>
      <c r="O6" s="3"/>
      <c r="P6" s="3"/>
      <c r="Q6" s="3"/>
      <c r="R6" s="3"/>
      <c r="S6" s="3"/>
      <c r="T6" s="3"/>
      <c r="U6" s="3"/>
      <c r="V6" s="3"/>
      <c r="W6" s="3"/>
      <c r="X6" s="3"/>
      <c r="Y6" s="3"/>
      <c r="Z6" s="3"/>
    </row>
    <row r="7" ht="34" spans="1:26">
      <c r="A7" s="3" t="s">
        <v>389</v>
      </c>
      <c r="B7" s="14">
        <f>'3Rebates Incentives'!H18</f>
        <v>85997.784</v>
      </c>
      <c r="C7" s="3"/>
      <c r="D7" s="3"/>
      <c r="E7" s="14"/>
      <c r="F7" s="14"/>
      <c r="G7" s="14"/>
      <c r="H7" s="14"/>
      <c r="I7" s="14"/>
      <c r="J7" s="14"/>
      <c r="K7" s="3"/>
      <c r="L7" s="3"/>
      <c r="M7" s="3"/>
      <c r="N7" s="3"/>
      <c r="O7" s="3"/>
      <c r="P7" s="3"/>
      <c r="Q7" s="3"/>
      <c r="R7" s="3"/>
      <c r="S7" s="3"/>
      <c r="T7" s="3"/>
      <c r="U7" s="3"/>
      <c r="V7" s="3"/>
      <c r="W7" s="3"/>
      <c r="X7" s="3"/>
      <c r="Y7" s="3"/>
      <c r="Z7" s="3"/>
    </row>
    <row r="8" ht="17" spans="1:26">
      <c r="A8" s="3" t="s">
        <v>346</v>
      </c>
      <c r="B8" s="14">
        <f>'3Rebates Incentives'!H19</f>
        <v>682607.4105</v>
      </c>
      <c r="C8" s="3"/>
      <c r="D8" s="3"/>
      <c r="E8" s="14"/>
      <c r="F8" s="14"/>
      <c r="G8" s="14"/>
      <c r="H8" s="14"/>
      <c r="I8" s="14"/>
      <c r="J8" s="14"/>
      <c r="K8" s="3"/>
      <c r="L8" s="3"/>
      <c r="M8" s="3"/>
      <c r="N8" s="3"/>
      <c r="O8" s="3"/>
      <c r="P8" s="3"/>
      <c r="Q8" s="3"/>
      <c r="R8" s="3"/>
      <c r="S8" s="3"/>
      <c r="T8" s="3"/>
      <c r="U8" s="3"/>
      <c r="V8" s="3"/>
      <c r="W8" s="3"/>
      <c r="X8" s="3"/>
      <c r="Y8" s="3"/>
      <c r="Z8" s="3"/>
    </row>
    <row r="9" ht="34" spans="1:26">
      <c r="A9" s="3" t="s">
        <v>347</v>
      </c>
      <c r="B9" s="14">
        <f>B4-B8</f>
        <v>392364.8895</v>
      </c>
      <c r="C9" s="3"/>
      <c r="D9" s="3"/>
      <c r="E9" s="3"/>
      <c r="F9" s="3"/>
      <c r="G9" s="3"/>
      <c r="H9" s="3"/>
      <c r="I9" s="3"/>
      <c r="J9" s="3"/>
      <c r="K9" s="3"/>
      <c r="L9" s="3"/>
      <c r="M9" s="3"/>
      <c r="N9" s="3"/>
      <c r="O9" s="3"/>
      <c r="P9" s="3"/>
      <c r="Q9" s="3"/>
      <c r="R9" s="3"/>
      <c r="S9" s="3"/>
      <c r="T9" s="3"/>
      <c r="U9" s="3"/>
      <c r="V9" s="3"/>
      <c r="W9" s="3"/>
      <c r="X9" s="3"/>
      <c r="Y9" s="3"/>
      <c r="Z9" s="3"/>
    </row>
    <row r="10" ht="17" spans="1:26">
      <c r="A10" s="3" t="s">
        <v>537</v>
      </c>
      <c r="B10" s="14">
        <f>'4Electric Bills'!AA16</f>
        <v>106305.624984984</v>
      </c>
      <c r="C10" s="3"/>
      <c r="D10" s="3"/>
      <c r="E10" s="3"/>
      <c r="F10" s="3"/>
      <c r="G10" s="3"/>
      <c r="H10" s="3"/>
      <c r="I10" s="3"/>
      <c r="J10" s="3"/>
      <c r="K10" s="3"/>
      <c r="L10" s="3"/>
      <c r="M10" s="3"/>
      <c r="N10" s="3"/>
      <c r="O10" s="3"/>
      <c r="P10" s="3"/>
      <c r="Q10" s="3"/>
      <c r="R10" s="3"/>
      <c r="S10" s="3"/>
      <c r="T10" s="3"/>
      <c r="U10" s="3"/>
      <c r="V10" s="3"/>
      <c r="W10" s="3"/>
      <c r="X10" s="3"/>
      <c r="Y10" s="3"/>
      <c r="Z10" s="3"/>
    </row>
    <row r="11" ht="17" spans="1:26">
      <c r="A11" s="3" t="s">
        <v>538</v>
      </c>
      <c r="B11" s="14">
        <f>'6Detailed Cash Flow'!B40</f>
        <v>4694064.00207188</v>
      </c>
      <c r="C11" s="3"/>
      <c r="D11" s="3"/>
      <c r="E11" s="3"/>
      <c r="F11" s="3"/>
      <c r="G11" s="3"/>
      <c r="H11" s="3"/>
      <c r="I11" s="3"/>
      <c r="J11" s="3"/>
      <c r="K11" s="3"/>
      <c r="L11" s="3"/>
      <c r="M11" s="3"/>
      <c r="N11" s="3"/>
      <c r="O11" s="3"/>
      <c r="P11" s="3"/>
      <c r="Q11" s="3"/>
      <c r="R11" s="3"/>
      <c r="S11" s="3"/>
      <c r="T11" s="3"/>
      <c r="U11" s="3"/>
      <c r="V11" s="3"/>
      <c r="W11" s="3"/>
      <c r="X11" s="3"/>
      <c r="Y11" s="3"/>
      <c r="Z11" s="3"/>
    </row>
    <row r="12" ht="17" spans="1:26">
      <c r="A12" s="3" t="s">
        <v>404</v>
      </c>
      <c r="B12" s="12">
        <f>'6Detailed Cash Flow'!B42</f>
        <v>0.21518282780096</v>
      </c>
      <c r="C12" s="3"/>
      <c r="D12" s="3"/>
      <c r="E12" s="3"/>
      <c r="F12" s="3"/>
      <c r="G12" s="3"/>
      <c r="H12" s="3"/>
      <c r="I12" s="3"/>
      <c r="J12" s="3"/>
      <c r="K12" s="3"/>
      <c r="L12" s="3"/>
      <c r="M12" s="3"/>
      <c r="N12" s="3"/>
      <c r="O12" s="3"/>
      <c r="P12" s="3"/>
      <c r="Q12" s="3"/>
      <c r="R12" s="3"/>
      <c r="S12" s="3"/>
      <c r="T12" s="3"/>
      <c r="U12" s="3"/>
      <c r="V12" s="3"/>
      <c r="W12" s="3"/>
      <c r="X12" s="3"/>
      <c r="Y12" s="3"/>
      <c r="Z12" s="3"/>
    </row>
    <row r="13" ht="17" spans="1:26">
      <c r="A13" s="3" t="s">
        <v>539</v>
      </c>
      <c r="B13" s="14">
        <f>'6Detailed Cash Flow'!B41</f>
        <v>1757719.3099355</v>
      </c>
      <c r="C13" s="3"/>
      <c r="D13" s="3"/>
      <c r="E13" s="3"/>
      <c r="F13" s="3"/>
      <c r="G13" s="3"/>
      <c r="H13" s="3"/>
      <c r="I13" s="3"/>
      <c r="J13" s="3"/>
      <c r="K13" s="3"/>
      <c r="L13" s="3"/>
      <c r="M13" s="3"/>
      <c r="N13" s="3"/>
      <c r="O13" s="3"/>
      <c r="P13" s="3"/>
      <c r="Q13" s="3"/>
      <c r="R13" s="3"/>
      <c r="S13" s="3"/>
      <c r="T13" s="3"/>
      <c r="U13" s="3"/>
      <c r="V13" s="3"/>
      <c r="W13" s="3"/>
      <c r="X13" s="3"/>
      <c r="Y13" s="3"/>
      <c r="Z13" s="3"/>
    </row>
    <row r="14" ht="17" spans="1:26">
      <c r="A14" s="3" t="s">
        <v>391</v>
      </c>
      <c r="B14" s="21">
        <f>'6Detailed Cash Flow'!B43</f>
        <v>3.88764539094544</v>
      </c>
      <c r="C14" s="3"/>
      <c r="D14" s="3"/>
      <c r="E14" s="3"/>
      <c r="F14" s="3"/>
      <c r="G14" s="3"/>
      <c r="H14" s="3"/>
      <c r="I14" s="3"/>
      <c r="J14" s="3"/>
      <c r="K14" s="3"/>
      <c r="L14" s="3"/>
      <c r="M14" s="3"/>
      <c r="N14" s="3"/>
      <c r="O14" s="3"/>
      <c r="P14" s="3"/>
      <c r="Q14" s="3"/>
      <c r="R14" s="3"/>
      <c r="S14" s="3"/>
      <c r="T14" s="3"/>
      <c r="U14" s="3"/>
      <c r="V14" s="3"/>
      <c r="W14" s="3"/>
      <c r="X14" s="3"/>
      <c r="Y14" s="3"/>
      <c r="Z14" s="3"/>
    </row>
    <row r="15" spans="1:26">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c r="A16" s="3"/>
      <c r="B16" s="3"/>
      <c r="C16" s="3"/>
      <c r="D16" s="3"/>
      <c r="E16" s="3"/>
      <c r="F16" s="3"/>
      <c r="G16" s="3"/>
      <c r="H16" s="3"/>
      <c r="I16" s="3"/>
      <c r="J16" s="3"/>
      <c r="K16" s="3"/>
      <c r="L16" s="3"/>
      <c r="M16" s="3"/>
      <c r="N16" s="3"/>
      <c r="O16" s="3"/>
      <c r="P16" s="3"/>
      <c r="Q16" s="3"/>
      <c r="R16" s="3"/>
      <c r="S16" s="3"/>
      <c r="T16" s="3"/>
      <c r="U16" s="3"/>
      <c r="V16" s="3"/>
      <c r="W16" s="3"/>
      <c r="X16" s="3"/>
      <c r="Y16" s="3"/>
      <c r="Z16" s="3"/>
    </row>
    <row r="17" ht="17" spans="1:32">
      <c r="A17" s="4" t="s">
        <v>540</v>
      </c>
      <c r="B17" s="4">
        <v>0</v>
      </c>
      <c r="C17" s="4">
        <v>1</v>
      </c>
      <c r="D17" s="4">
        <v>2</v>
      </c>
      <c r="E17" s="4">
        <v>3</v>
      </c>
      <c r="F17" s="4">
        <v>4</v>
      </c>
      <c r="G17" s="4">
        <v>5</v>
      </c>
      <c r="H17" s="4">
        <v>6</v>
      </c>
      <c r="I17" s="4">
        <v>7</v>
      </c>
      <c r="J17" s="4">
        <v>8</v>
      </c>
      <c r="K17" s="4">
        <v>9</v>
      </c>
      <c r="L17" s="4">
        <v>10</v>
      </c>
      <c r="M17" s="4">
        <v>11</v>
      </c>
      <c r="N17" s="4">
        <v>12</v>
      </c>
      <c r="O17" s="4">
        <v>13</v>
      </c>
      <c r="P17" s="4">
        <v>14</v>
      </c>
      <c r="Q17" s="4">
        <v>15</v>
      </c>
      <c r="R17" s="4">
        <v>16</v>
      </c>
      <c r="S17" s="4">
        <v>17</v>
      </c>
      <c r="T17" s="4">
        <v>18</v>
      </c>
      <c r="U17" s="4">
        <v>19</v>
      </c>
      <c r="V17" s="4">
        <v>20</v>
      </c>
      <c r="W17" s="4">
        <v>21</v>
      </c>
      <c r="X17" s="4">
        <v>22</v>
      </c>
      <c r="Y17" s="4">
        <v>23</v>
      </c>
      <c r="Z17" s="4">
        <v>24</v>
      </c>
      <c r="AA17" s="25">
        <v>25</v>
      </c>
      <c r="AB17" s="25">
        <v>26</v>
      </c>
      <c r="AC17" s="25">
        <v>27</v>
      </c>
      <c r="AD17" s="25">
        <v>28</v>
      </c>
      <c r="AE17" s="25">
        <v>29</v>
      </c>
      <c r="AF17" s="25">
        <v>30</v>
      </c>
    </row>
    <row r="18" ht="17" spans="1:32">
      <c r="A18" s="14" t="s">
        <v>541</v>
      </c>
      <c r="B18" s="14">
        <f>'6Detailed Cash Flow'!I4</f>
        <v>-1074972.3</v>
      </c>
      <c r="C18" s="14">
        <f>'6Detailed Cash Flow'!I5</f>
        <v>632397.068604983</v>
      </c>
      <c r="D18" s="14">
        <f>'6Detailed Cash Flow'!I6</f>
        <v>171590.957767484</v>
      </c>
      <c r="E18" s="14">
        <f>'6Detailed Cash Flow'!I7</f>
        <v>149296.615031733</v>
      </c>
      <c r="F18" s="14">
        <f>'6Detailed Cash Flow'!I8</f>
        <v>137090.396499654</v>
      </c>
      <c r="G18" s="14">
        <f>'6Detailed Cash Flow'!I9</f>
        <v>139982.699334892</v>
      </c>
      <c r="H18" s="14">
        <f>'6Detailed Cash Flow'!I10</f>
        <v>131680.778540426</v>
      </c>
      <c r="I18" s="14">
        <f>'6Detailed Cash Flow'!I11</f>
        <v>123455.773805341</v>
      </c>
      <c r="J18" s="14">
        <f>'6Detailed Cash Flow'!I12</f>
        <v>126578.878913257</v>
      </c>
      <c r="K18" s="14">
        <f>'6Detailed Cash Flow'!I13</f>
        <v>129783.044012418</v>
      </c>
      <c r="L18" s="14">
        <f>'6Detailed Cash Flow'!I14</f>
        <v>133070.426004958</v>
      </c>
      <c r="M18" s="14">
        <f>'6Detailed Cash Flow'!I15</f>
        <v>136443.2405183</v>
      </c>
      <c r="N18" s="14">
        <f>'6Detailed Cash Flow'!I16</f>
        <v>139903.763536756</v>
      </c>
      <c r="O18" s="14">
        <f>'6Detailed Cash Flow'!I17</f>
        <v>143454.333079237</v>
      </c>
      <c r="P18" s="14">
        <f>'6Detailed Cash Flow'!I18</f>
        <v>147097.350924401</v>
      </c>
      <c r="Q18" s="14">
        <f>'6Detailed Cash Flow'!I19</f>
        <v>150835.284384596</v>
      </c>
      <c r="R18" s="14">
        <f>'6Detailed Cash Flow'!I20</f>
        <v>154670.668130007</v>
      </c>
      <c r="S18" s="14">
        <f>'6Detailed Cash Flow'!I21</f>
        <v>158606.106064435</v>
      </c>
      <c r="T18" s="14">
        <f>'6Detailed Cash Flow'!I22</f>
        <v>162644.273254193</v>
      </c>
      <c r="U18" s="14">
        <f>'6Detailed Cash Flow'!I23</f>
        <v>166787.917911654</v>
      </c>
      <c r="V18" s="14">
        <f>'6Detailed Cash Flow'!I24</f>
        <v>171039.863435005</v>
      </c>
      <c r="W18" s="14">
        <f>'6Detailed Cash Flow'!I25</f>
        <v>175403.010505832</v>
      </c>
      <c r="X18" s="14">
        <f>'6Detailed Cash Flow'!I26</f>
        <v>179880.339246195</v>
      </c>
      <c r="Y18" s="14">
        <f>'6Detailed Cash Flow'!I27</f>
        <v>184474.911436901</v>
      </c>
      <c r="Z18" s="14">
        <f>'6Detailed Cash Flow'!I28</f>
        <v>189189.872798737</v>
      </c>
      <c r="AA18" s="17">
        <f>'6Detailed Cash Flow'!I29</f>
        <v>194028.455338476</v>
      </c>
      <c r="AB18" s="17">
        <f>'6Detailed Cash Flow'!I30</f>
        <v>198993.97976151</v>
      </c>
      <c r="AC18" s="17">
        <f>'6Detailed Cash Flow'!I31</f>
        <v>204089.857953034</v>
      </c>
      <c r="AD18" s="17">
        <f>'6Detailed Cash Flow'!I32</f>
        <v>209319.595529763</v>
      </c>
      <c r="AE18" s="17">
        <f>'6Detailed Cash Flow'!I33</f>
        <v>214686.794464193</v>
      </c>
      <c r="AF18" s="17">
        <f>'6Detailed Cash Flow'!I34</f>
        <v>220195.155783506</v>
      </c>
    </row>
    <row r="19" ht="17" spans="1:32">
      <c r="A19" s="14" t="s">
        <v>542</v>
      </c>
      <c r="B19" s="14">
        <f>'6Detailed Cash Flow'!J4</f>
        <v>-1074972.3</v>
      </c>
      <c r="C19" s="14">
        <f>'6Detailed Cash Flow'!J5</f>
        <v>-442575.231395016</v>
      </c>
      <c r="D19" s="14">
        <f>'6Detailed Cash Flow'!J6</f>
        <v>-270984.273627533</v>
      </c>
      <c r="E19" s="14">
        <f>'6Detailed Cash Flow'!J7</f>
        <v>-121687.6585958</v>
      </c>
      <c r="F19" s="14">
        <f>'6Detailed Cash Flow'!J8</f>
        <v>15402.7379038538</v>
      </c>
      <c r="G19" s="14">
        <f>'6Detailed Cash Flow'!J9</f>
        <v>155385.437238746</v>
      </c>
      <c r="H19" s="14">
        <f>'6Detailed Cash Flow'!J10</f>
        <v>287066.215779172</v>
      </c>
      <c r="I19" s="14">
        <f>'6Detailed Cash Flow'!J11</f>
        <v>410521.989584513</v>
      </c>
      <c r="J19" s="14">
        <f>'6Detailed Cash Flow'!J12</f>
        <v>537100.86849777</v>
      </c>
      <c r="K19" s="14">
        <f>'6Detailed Cash Flow'!J13</f>
        <v>666883.912510188</v>
      </c>
      <c r="L19" s="14">
        <f>'6Detailed Cash Flow'!J14</f>
        <v>799954.338515146</v>
      </c>
      <c r="M19" s="14">
        <f>'6Detailed Cash Flow'!J15</f>
        <v>936397.579033445</v>
      </c>
      <c r="N19" s="14">
        <f>'6Detailed Cash Flow'!J16</f>
        <v>1076301.3425702</v>
      </c>
      <c r="O19" s="14">
        <f>'6Detailed Cash Flow'!J17</f>
        <v>1219755.67564944</v>
      </c>
      <c r="P19" s="14">
        <f>'6Detailed Cash Flow'!J18</f>
        <v>1366853.02657384</v>
      </c>
      <c r="Q19" s="14">
        <f>'6Detailed Cash Flow'!J19</f>
        <v>1517688.31095844</v>
      </c>
      <c r="R19" s="14">
        <f>'6Detailed Cash Flow'!J20</f>
        <v>1672358.97908844</v>
      </c>
      <c r="S19" s="14">
        <f>'6Detailed Cash Flow'!J21</f>
        <v>1830965.08515288</v>
      </c>
      <c r="T19" s="14">
        <f>'6Detailed Cash Flow'!J22</f>
        <v>1993609.35840707</v>
      </c>
      <c r="U19" s="14">
        <f>'6Detailed Cash Flow'!J23</f>
        <v>2160397.27631872</v>
      </c>
      <c r="V19" s="14">
        <f>'6Detailed Cash Flow'!J24</f>
        <v>2331437.13975373</v>
      </c>
      <c r="W19" s="14">
        <f>'6Detailed Cash Flow'!J25</f>
        <v>2506840.15025956</v>
      </c>
      <c r="X19" s="14">
        <f>'6Detailed Cash Flow'!J26</f>
        <v>2686720.48950576</v>
      </c>
      <c r="Y19" s="14">
        <f>'6Detailed Cash Flow'!J27</f>
        <v>2871195.40094266</v>
      </c>
      <c r="Z19" s="14">
        <f>'6Detailed Cash Flow'!J28</f>
        <v>3060385.27374139</v>
      </c>
      <c r="AA19" s="17">
        <f>'6Detailed Cash Flow'!J29</f>
        <v>3254413.72907987</v>
      </c>
      <c r="AB19" s="17">
        <f>'6Detailed Cash Flow'!J30</f>
        <v>3453407.70884138</v>
      </c>
      <c r="AC19" s="17">
        <f>'6Detailed Cash Flow'!J31</f>
        <v>3657497.56679441</v>
      </c>
      <c r="AD19" s="17">
        <f>'6Detailed Cash Flow'!J32</f>
        <v>3866817.16232418</v>
      </c>
      <c r="AE19" s="17">
        <f>'6Detailed Cash Flow'!J33</f>
        <v>4081503.95678837</v>
      </c>
      <c r="AF19" s="17">
        <f>'6Detailed Cash Flow'!J34</f>
        <v>4301699.11257188</v>
      </c>
    </row>
    <row r="20" ht="17" spans="1:32">
      <c r="A20" s="14" t="s">
        <v>543</v>
      </c>
      <c r="B20" s="14">
        <f>'6Detailed Cash Flow'!L4</f>
        <v>-1074972.3</v>
      </c>
      <c r="C20" s="14">
        <f>'6Detailed Cash Flow'!L5</f>
        <v>602282.922480936</v>
      </c>
      <c r="D20" s="14">
        <f>'6Detailed Cash Flow'!L6</f>
        <v>155638.056931958</v>
      </c>
      <c r="E20" s="14">
        <f>'6Detailed Cash Flow'!L7</f>
        <v>128968.02939789</v>
      </c>
      <c r="F20" s="14">
        <f>'6Detailed Cash Flow'!L8</f>
        <v>112784.608470465</v>
      </c>
      <c r="G20" s="14">
        <f>'6Detailed Cash Flow'!L9</f>
        <v>109680.107781775</v>
      </c>
      <c r="H20" s="14">
        <f>'6Detailed Cash Flow'!L10</f>
        <v>98262.2243879638</v>
      </c>
      <c r="I20" s="14">
        <f>'6Detailed Cash Flow'!L11</f>
        <v>87737.7135402231</v>
      </c>
      <c r="J20" s="14">
        <f>'6Detailed Cash Flow'!L12</f>
        <v>85673.5676499552</v>
      </c>
      <c r="K20" s="14">
        <f>'6Detailed Cash Flow'!L13</f>
        <v>83659.3073442915</v>
      </c>
      <c r="L20" s="14">
        <f>'6Detailed Cash Flow'!L14</f>
        <v>81693.6981787584</v>
      </c>
      <c r="M20" s="14">
        <f>'6Detailed Cash Flow'!L15</f>
        <v>79775.5368668891</v>
      </c>
      <c r="N20" s="14">
        <f>'6Detailed Cash Flow'!L16</f>
        <v>77903.6504811309</v>
      </c>
      <c r="O20" s="14">
        <f>'6Detailed Cash Flow'!L17</f>
        <v>76076.8956745012</v>
      </c>
      <c r="P20" s="14">
        <f>'6Detailed Cash Flow'!L18</f>
        <v>74294.1579224507</v>
      </c>
      <c r="Q20" s="14">
        <f>'6Detailed Cash Flow'!L19</f>
        <v>72554.3507844046</v>
      </c>
      <c r="R20" s="14">
        <f>'6Detailed Cash Flow'!L20</f>
        <v>70856.4151844644</v>
      </c>
      <c r="S20" s="14">
        <f>'6Detailed Cash Flow'!L21</f>
        <v>69199.3187107691</v>
      </c>
      <c r="T20" s="14">
        <f>'6Detailed Cash Flow'!L22</f>
        <v>67582.0549330281</v>
      </c>
      <c r="U20" s="14">
        <f>'6Detailed Cash Flow'!L23</f>
        <v>66003.6427377471</v>
      </c>
      <c r="V20" s="14">
        <f>'6Detailed Cash Flow'!L24</f>
        <v>64463.1256806877</v>
      </c>
      <c r="W20" s="14">
        <f>'6Detailed Cash Flow'!L25</f>
        <v>62959.5713561054</v>
      </c>
      <c r="X20" s="14">
        <f>'6Detailed Cash Flow'!L26</f>
        <v>61492.0707823296</v>
      </c>
      <c r="Y20" s="14">
        <f>'6Detailed Cash Flow'!L27</f>
        <v>60059.7378032576</v>
      </c>
      <c r="Z20" s="14">
        <f>'6Detailed Cash Flow'!L28</f>
        <v>58661.7085053448</v>
      </c>
      <c r="AA20" s="17">
        <f>'6Detailed Cash Flow'!L29</f>
        <v>57297.1406496875</v>
      </c>
      <c r="AB20" s="17">
        <f>'6Detailed Cash Flow'!L30</f>
        <v>55965.2131188019</v>
      </c>
      <c r="AC20" s="17">
        <f>'6Detailed Cash Flow'!L31</f>
        <v>54665.1253777175</v>
      </c>
      <c r="AD20" s="17">
        <f>'6Detailed Cash Flow'!L32</f>
        <v>53396.0969490063</v>
      </c>
      <c r="AE20" s="17">
        <f>'6Detailed Cash Flow'!L33</f>
        <v>52157.3669013909</v>
      </c>
      <c r="AF20" s="17">
        <f>'6Detailed Cash Flow'!L34</f>
        <v>50948.1933515668</v>
      </c>
    </row>
    <row r="21" ht="17" spans="1:32">
      <c r="A21" s="14" t="s">
        <v>544</v>
      </c>
      <c r="B21" s="14">
        <f>'6Detailed Cash Flow'!M4</f>
        <v>-1074972.3</v>
      </c>
      <c r="C21" s="14">
        <f>'6Detailed Cash Flow'!M5</f>
        <v>-472689.377519064</v>
      </c>
      <c r="D21" s="14">
        <f>'6Detailed Cash Flow'!M6</f>
        <v>-317051.320587105</v>
      </c>
      <c r="E21" s="14">
        <f>'6Detailed Cash Flow'!M7</f>
        <v>-188083.291189215</v>
      </c>
      <c r="F21" s="14">
        <f>'6Detailed Cash Flow'!M8</f>
        <v>-75298.6827187498</v>
      </c>
      <c r="G21" s="14">
        <f>'6Detailed Cash Flow'!M9</f>
        <v>34381.4250630254</v>
      </c>
      <c r="H21" s="14">
        <f>'6Detailed Cash Flow'!M10</f>
        <v>132643.649450989</v>
      </c>
      <c r="I21" s="14">
        <f>'6Detailed Cash Flow'!M11</f>
        <v>220381.362991212</v>
      </c>
      <c r="J21" s="14">
        <f>'6Detailed Cash Flow'!M12</f>
        <v>306054.930641167</v>
      </c>
      <c r="K21" s="14">
        <f>'6Detailed Cash Flow'!M13</f>
        <v>389714.237985459</v>
      </c>
      <c r="L21" s="14">
        <f>'6Detailed Cash Flow'!M14</f>
        <v>471407.936164217</v>
      </c>
      <c r="M21" s="14">
        <f>'6Detailed Cash Flow'!M15</f>
        <v>551183.473031106</v>
      </c>
      <c r="N21" s="14">
        <f>'6Detailed Cash Flow'!M16</f>
        <v>629087.123512237</v>
      </c>
      <c r="O21" s="14">
        <f>'6Detailed Cash Flow'!M17</f>
        <v>705164.019186739</v>
      </c>
      <c r="P21" s="14">
        <f>'6Detailed Cash Flow'!M18</f>
        <v>779458.177109189</v>
      </c>
      <c r="Q21" s="14">
        <f>'6Detailed Cash Flow'!M19</f>
        <v>852012.527893594</v>
      </c>
      <c r="R21" s="14">
        <f>'6Detailed Cash Flow'!M20</f>
        <v>922868.943078058</v>
      </c>
      <c r="S21" s="14">
        <f>'6Detailed Cash Flow'!M21</f>
        <v>992068.261788827</v>
      </c>
      <c r="T21" s="14">
        <f>'6Detailed Cash Flow'!M22</f>
        <v>1059650.31672186</v>
      </c>
      <c r="U21" s="14">
        <f>'6Detailed Cash Flow'!M23</f>
        <v>1125653.9594596</v>
      </c>
      <c r="V21" s="14">
        <f>'6Detailed Cash Flow'!M24</f>
        <v>1190117.08514029</v>
      </c>
      <c r="W21" s="14">
        <f>'6Detailed Cash Flow'!M25</f>
        <v>1253076.6564964</v>
      </c>
      <c r="X21" s="14">
        <f>'6Detailed Cash Flow'!M26</f>
        <v>1314568.72727873</v>
      </c>
      <c r="Y21" s="14">
        <f>'6Detailed Cash Flow'!M27</f>
        <v>1374628.46508198</v>
      </c>
      <c r="Z21" s="14">
        <f>'6Detailed Cash Flow'!M28</f>
        <v>1433290.17358733</v>
      </c>
      <c r="AA21" s="17">
        <f>'6Detailed Cash Flow'!M29</f>
        <v>1490587.31423702</v>
      </c>
      <c r="AB21" s="17">
        <f>'6Detailed Cash Flow'!M30</f>
        <v>1546552.52735582</v>
      </c>
      <c r="AC21" s="17">
        <f>'6Detailed Cash Flow'!M31</f>
        <v>1601217.65273353</v>
      </c>
      <c r="AD21" s="17">
        <f>'6Detailed Cash Flow'!M32</f>
        <v>1654613.74968254</v>
      </c>
      <c r="AE21" s="17">
        <f>'6Detailed Cash Flow'!M33</f>
        <v>1706771.11658393</v>
      </c>
      <c r="AF21" s="17">
        <f>'6Detailed Cash Flow'!M34</f>
        <v>1757719.3099355</v>
      </c>
    </row>
    <row r="22" ht="17" spans="1:32">
      <c r="A22" s="14" t="s">
        <v>545</v>
      </c>
      <c r="B22" s="14">
        <f>'6Detailed Cash Flow'!N4</f>
        <v>0</v>
      </c>
      <c r="C22" s="14">
        <f>'6Detailed Cash Flow'!N5</f>
        <v>295334.0733</v>
      </c>
      <c r="D22" s="14">
        <f>'6Detailed Cash Flow'!N6</f>
        <v>304194.095499</v>
      </c>
      <c r="E22" s="14">
        <f>'6Detailed Cash Flow'!N7</f>
        <v>313319.91836397</v>
      </c>
      <c r="F22" s="14">
        <f>'6Detailed Cash Flow'!N8</f>
        <v>322719.515914889</v>
      </c>
      <c r="G22" s="14">
        <f>'6Detailed Cash Flow'!N9</f>
        <v>332401.101392336</v>
      </c>
      <c r="H22" s="14">
        <f>'6Detailed Cash Flow'!N10</f>
        <v>342373.134434106</v>
      </c>
      <c r="I22" s="14">
        <f>'6Detailed Cash Flow'!N11</f>
        <v>352644.328467129</v>
      </c>
      <c r="J22" s="14">
        <f>'6Detailed Cash Flow'!N12</f>
        <v>363223.658321143</v>
      </c>
      <c r="K22" s="14">
        <f>'6Detailed Cash Flow'!N13</f>
        <v>374120.368070777</v>
      </c>
      <c r="L22" s="14">
        <f>'6Detailed Cash Flow'!N14</f>
        <v>385343.979112901</v>
      </c>
      <c r="M22" s="14">
        <f>'6Detailed Cash Flow'!N15</f>
        <v>396904.298486288</v>
      </c>
      <c r="N22" s="14">
        <f>'6Detailed Cash Flow'!N16</f>
        <v>408811.427440876</v>
      </c>
      <c r="O22" s="14">
        <f>'6Detailed Cash Flow'!N17</f>
        <v>421075.770264103</v>
      </c>
      <c r="P22" s="14">
        <f>'6Detailed Cash Flow'!N18</f>
        <v>433708.043372026</v>
      </c>
      <c r="Q22" s="14">
        <f>'6Detailed Cash Flow'!N19</f>
        <v>446719.284673186</v>
      </c>
      <c r="R22" s="14">
        <f>'6Detailed Cash Flow'!N20</f>
        <v>460120.863213382</v>
      </c>
      <c r="S22" s="14">
        <f>'6Detailed Cash Flow'!N21</f>
        <v>473924.489109783</v>
      </c>
      <c r="T22" s="14">
        <f>'6Detailed Cash Flow'!N22</f>
        <v>488142.223783077</v>
      </c>
      <c r="U22" s="14">
        <f>'6Detailed Cash Flow'!N23</f>
        <v>502786.490496569</v>
      </c>
      <c r="V22" s="14">
        <f>'6Detailed Cash Flow'!N24</f>
        <v>517870.085211466</v>
      </c>
      <c r="W22" s="14">
        <f>'6Detailed Cash Flow'!N25</f>
        <v>533406.18776781</v>
      </c>
      <c r="X22" s="14">
        <f>'6Detailed Cash Flow'!N26</f>
        <v>549408.373400845</v>
      </c>
      <c r="Y22" s="14">
        <f>'6Detailed Cash Flow'!N27</f>
        <v>565890.62460287</v>
      </c>
      <c r="Z22" s="14">
        <f>'6Detailed Cash Flow'!N28</f>
        <v>582867.343340956</v>
      </c>
      <c r="AA22" s="17">
        <f>'6Detailed Cash Flow'!N29</f>
        <v>600353.363641185</v>
      </c>
      <c r="AB22" s="17">
        <f>'6Detailed Cash Flow'!N30</f>
        <v>618363.964550421</v>
      </c>
      <c r="AC22" s="17">
        <f>'6Detailed Cash Flow'!N31</f>
        <v>636914.883486933</v>
      </c>
      <c r="AD22" s="17">
        <f>'6Detailed Cash Flow'!N32</f>
        <v>656022.329991541</v>
      </c>
      <c r="AE22" s="17">
        <f>'6Detailed Cash Flow'!N33</f>
        <v>675702.999891287</v>
      </c>
      <c r="AF22" s="17">
        <f>'6Detailed Cash Flow'!N34</f>
        <v>695974.089888026</v>
      </c>
    </row>
    <row r="23" ht="17" spans="1:32">
      <c r="A23" s="14" t="s">
        <v>546</v>
      </c>
      <c r="B23" s="14">
        <f>'6Detailed Cash Flow'!O4</f>
        <v>0</v>
      </c>
      <c r="C23" s="14">
        <f>'6Detailed Cash Flow'!O5</f>
        <v>189028.448315017</v>
      </c>
      <c r="D23" s="14">
        <f>'6Detailed Cash Flow'!O6</f>
        <v>195209.524483516</v>
      </c>
      <c r="E23" s="14">
        <f>'6Detailed Cash Flow'!O7</f>
        <v>201587.135383437</v>
      </c>
      <c r="F23" s="14">
        <f>'6Detailed Cash Flow'!O8</f>
        <v>208167.418645955</v>
      </c>
      <c r="G23" s="14">
        <f>'6Detailed Cash Flow'!O9</f>
        <v>214956.701288164</v>
      </c>
      <c r="H23" s="14">
        <f>'6Detailed Cash Flow'!O10</f>
        <v>221961.50550904</v>
      </c>
      <c r="I23" s="14">
        <f>'6Detailed Cash Flow'!O11</f>
        <v>229188.554661788</v>
      </c>
      <c r="J23" s="14">
        <f>'6Detailed Cash Flow'!O12</f>
        <v>236644.779407886</v>
      </c>
      <c r="K23" s="14">
        <f>'6Detailed Cash Flow'!O13</f>
        <v>244337.324058359</v>
      </c>
      <c r="L23" s="14">
        <f>'6Detailed Cash Flow'!O14</f>
        <v>252273.553107943</v>
      </c>
      <c r="M23" s="14">
        <f>'6Detailed Cash Flow'!O15</f>
        <v>260461.057967988</v>
      </c>
      <c r="N23" s="14">
        <f>'6Detailed Cash Flow'!O16</f>
        <v>268907.66390412</v>
      </c>
      <c r="O23" s="14">
        <f>'6Detailed Cash Flow'!O17</f>
        <v>277621.437184866</v>
      </c>
      <c r="P23" s="14">
        <f>'6Detailed Cash Flow'!O18</f>
        <v>286610.692447625</v>
      </c>
      <c r="Q23" s="14">
        <f>'6Detailed Cash Flow'!O19</f>
        <v>295884.00028859</v>
      </c>
      <c r="R23" s="14">
        <f>'6Detailed Cash Flow'!O20</f>
        <v>305450.195083375</v>
      </c>
      <c r="S23" s="14">
        <f>'6Detailed Cash Flow'!O21</f>
        <v>315318.383045348</v>
      </c>
      <c r="T23" s="14">
        <f>'6Detailed Cash Flow'!O22</f>
        <v>325497.950528884</v>
      </c>
      <c r="U23" s="14">
        <f>'6Detailed Cash Flow'!O23</f>
        <v>335998.572584915</v>
      </c>
      <c r="V23" s="14">
        <f>'6Detailed Cash Flow'!O24</f>
        <v>346830.221776461</v>
      </c>
      <c r="W23" s="14">
        <f>'6Detailed Cash Flow'!O25</f>
        <v>358003.177261978</v>
      </c>
      <c r="X23" s="14">
        <f>'6Detailed Cash Flow'!O26</f>
        <v>369528.03415465</v>
      </c>
      <c r="Y23" s="14">
        <f>'6Detailed Cash Flow'!O27</f>
        <v>381415.713165969</v>
      </c>
      <c r="Z23" s="14">
        <f>'6Detailed Cash Flow'!O28</f>
        <v>393677.470542219</v>
      </c>
      <c r="AA23" s="17">
        <f>'6Detailed Cash Flow'!O29</f>
        <v>406324.908302709</v>
      </c>
      <c r="AB23" s="17">
        <f>'6Detailed Cash Flow'!O30</f>
        <v>419369.984788911</v>
      </c>
      <c r="AC23" s="17">
        <f>'6Detailed Cash Flow'!O31</f>
        <v>432825.025533899</v>
      </c>
      <c r="AD23" s="17">
        <f>'6Detailed Cash Flow'!O32</f>
        <v>446702.734461778</v>
      </c>
      <c r="AE23" s="17">
        <f>'6Detailed Cash Flow'!O33</f>
        <v>461016.205427094</v>
      </c>
      <c r="AF23" s="17">
        <f>'6Detailed Cash Flow'!O34</f>
        <v>475778.93410452</v>
      </c>
    </row>
    <row r="24" ht="17" spans="1:32">
      <c r="A24" s="3" t="s">
        <v>547</v>
      </c>
      <c r="B24" s="14">
        <v>0</v>
      </c>
      <c r="C24" s="14">
        <f>B24+'6Detailed Cash Flow'!C5</f>
        <v>526091.44362</v>
      </c>
      <c r="D24" s="14">
        <f>C24+'6Detailed Cash Flow'!C6</f>
        <v>588697.830372</v>
      </c>
      <c r="E24" s="14">
        <f>D24+'6Detailed Cash Flow'!C7</f>
        <v>626261.6624232</v>
      </c>
      <c r="F24" s="14">
        <f>E24+'6Detailed Cash Flow'!C8</f>
        <v>648799.96165392</v>
      </c>
      <c r="G24" s="14">
        <f>F24+'6Detailed Cash Flow'!C9</f>
        <v>671338.26088464</v>
      </c>
      <c r="H24" s="14">
        <f>G24+'6Detailed Cash Flow'!C10</f>
        <v>682607.4105</v>
      </c>
      <c r="I24" s="14">
        <f>H24+'6Detailed Cash Flow'!C11</f>
        <v>682607.4105</v>
      </c>
      <c r="J24" s="14">
        <f>I24+'6Detailed Cash Flow'!C12</f>
        <v>682607.4105</v>
      </c>
      <c r="K24" s="14">
        <f>J24+'6Detailed Cash Flow'!C13</f>
        <v>682607.4105</v>
      </c>
      <c r="L24" s="14">
        <f>K24+'6Detailed Cash Flow'!C14</f>
        <v>682607.4105</v>
      </c>
      <c r="M24" s="14">
        <f>L24+'6Detailed Cash Flow'!C15</f>
        <v>682607.4105</v>
      </c>
      <c r="N24" s="14">
        <f>M24+'6Detailed Cash Flow'!C16</f>
        <v>682607.4105</v>
      </c>
      <c r="O24" s="14">
        <f>N24+'6Detailed Cash Flow'!C17</f>
        <v>682607.4105</v>
      </c>
      <c r="P24" s="14">
        <f>O24+'6Detailed Cash Flow'!C18</f>
        <v>682607.4105</v>
      </c>
      <c r="Q24" s="14">
        <f>P24+'6Detailed Cash Flow'!C19</f>
        <v>682607.4105</v>
      </c>
      <c r="R24" s="14">
        <f>Q24+'6Detailed Cash Flow'!C20</f>
        <v>682607.4105</v>
      </c>
      <c r="S24" s="14">
        <f>R24+'6Detailed Cash Flow'!C21</f>
        <v>682607.4105</v>
      </c>
      <c r="T24" s="14">
        <f>S24+'6Detailed Cash Flow'!C22</f>
        <v>682607.4105</v>
      </c>
      <c r="U24" s="14">
        <f>T24+'6Detailed Cash Flow'!C23</f>
        <v>682607.4105</v>
      </c>
      <c r="V24" s="14">
        <f>U24+'6Detailed Cash Flow'!C24</f>
        <v>682607.4105</v>
      </c>
      <c r="W24" s="14">
        <f>V24+'6Detailed Cash Flow'!C25</f>
        <v>682607.4105</v>
      </c>
      <c r="X24" s="14">
        <f>W24+'6Detailed Cash Flow'!C26</f>
        <v>682607.4105</v>
      </c>
      <c r="Y24" s="14">
        <f>X24+'6Detailed Cash Flow'!C27</f>
        <v>682607.4105</v>
      </c>
      <c r="Z24" s="14">
        <f>Y24+'6Detailed Cash Flow'!C28</f>
        <v>682607.4105</v>
      </c>
      <c r="AA24" s="17">
        <f>Z24+'6Detailed Cash Flow'!C29</f>
        <v>682607.4105</v>
      </c>
      <c r="AB24" s="17">
        <f>AA24+'6Detailed Cash Flow'!C30</f>
        <v>682607.4105</v>
      </c>
      <c r="AC24" s="17">
        <f>AB24+'6Detailed Cash Flow'!C31</f>
        <v>682607.4105</v>
      </c>
      <c r="AD24" s="17">
        <f>AC24+'6Detailed Cash Flow'!C32</f>
        <v>682607.4105</v>
      </c>
      <c r="AE24" s="17">
        <f>AD24+'6Detailed Cash Flow'!C33</f>
        <v>682607.4105</v>
      </c>
      <c r="AF24" s="17">
        <f>AE24+'6Detailed Cash Flow'!C34</f>
        <v>682607.4105</v>
      </c>
    </row>
    <row r="25" ht="34" spans="1:32">
      <c r="A25" s="3" t="s">
        <v>548</v>
      </c>
      <c r="B25" s="14">
        <f>$B$4</f>
        <v>1074972.3</v>
      </c>
      <c r="C25" s="14">
        <f>$B$4+SUM('6Detailed Cash Flow'!$O$5:O5)-C24</f>
        <v>737909.304695016</v>
      </c>
      <c r="D25" s="14">
        <f>$B$4+SUM('6Detailed Cash Flow'!$O$5:O6)-D24</f>
        <v>870512.442426533</v>
      </c>
      <c r="E25" s="14">
        <f>$B$4+SUM('6Detailed Cash Flow'!$O$5:O7)-E24</f>
        <v>1034535.74575877</v>
      </c>
      <c r="F25" s="14">
        <f>$B$4+SUM('6Detailed Cash Flow'!$O$5:O8)-F24</f>
        <v>1220164.86517401</v>
      </c>
      <c r="G25" s="14">
        <f>$B$4+SUM('6Detailed Cash Flow'!$O$5:O9)-G24</f>
        <v>1412583.26723145</v>
      </c>
      <c r="H25" s="14">
        <f>$B$4+SUM('6Detailed Cash Flow'!$O$5:O10)-H24</f>
        <v>1623275.62312513</v>
      </c>
      <c r="I25" s="14">
        <f>$B$4+SUM('6Detailed Cash Flow'!$O$5:O11)-I24</f>
        <v>1852464.17778692</v>
      </c>
      <c r="J25" s="14">
        <f>$B$4+SUM('6Detailed Cash Flow'!$O$5:O12)-J24</f>
        <v>2089108.9571948</v>
      </c>
      <c r="K25" s="14">
        <f>$B$4+SUM('6Detailed Cash Flow'!$O$5:O13)-K24</f>
        <v>2333446.28125316</v>
      </c>
      <c r="L25" s="14">
        <f>$B$4+SUM('6Detailed Cash Flow'!$O$5:O14)-L24</f>
        <v>2585719.83436111</v>
      </c>
      <c r="M25" s="14">
        <f>$B$4+SUM('6Detailed Cash Flow'!$O$5:O15)-M24</f>
        <v>2846180.89232909</v>
      </c>
      <c r="N25" s="14">
        <f>$B$4+SUM('6Detailed Cash Flow'!$O$5:O16)-N24</f>
        <v>3115088.55623321</v>
      </c>
      <c r="O25" s="14">
        <f>$B$4+SUM('6Detailed Cash Flow'!$O$5:O17)-O24</f>
        <v>3392709.99341808</v>
      </c>
      <c r="P25" s="14">
        <f>$B$4+SUM('6Detailed Cash Flow'!$O$5:O18)-P24</f>
        <v>3679320.6858657</v>
      </c>
      <c r="Q25" s="14">
        <f>$B$4+SUM('6Detailed Cash Flow'!$O$5:O19)-Q24</f>
        <v>3975204.68615429</v>
      </c>
      <c r="R25" s="14">
        <f>$B$4+SUM('6Detailed Cash Flow'!$O$5:O20)-R24</f>
        <v>4280654.88123767</v>
      </c>
      <c r="S25" s="14">
        <f>$B$4+SUM('6Detailed Cash Flow'!$O$5:O21)-S24</f>
        <v>4595973.26428302</v>
      </c>
      <c r="T25" s="14">
        <f>$B$4+SUM('6Detailed Cash Flow'!$O$5:O22)-T24</f>
        <v>4921471.2148119</v>
      </c>
      <c r="U25" s="14">
        <f>$B$4+SUM('6Detailed Cash Flow'!$O$5:O23)-U24</f>
        <v>5257469.78739682</v>
      </c>
      <c r="V25" s="14">
        <f>$B$4+SUM('6Detailed Cash Flow'!$O$5:O24)-V24</f>
        <v>5604300.00917328</v>
      </c>
      <c r="W25" s="14">
        <f>$B$4+SUM('6Detailed Cash Flow'!$O$5:O25)-W24</f>
        <v>5962303.18643525</v>
      </c>
      <c r="X25" s="14">
        <f>$B$4+SUM('6Detailed Cash Flow'!$O$5:O26)-X24</f>
        <v>6331831.2205899</v>
      </c>
      <c r="Y25" s="14">
        <f>$B$4+SUM('6Detailed Cash Flow'!$O$5:O27)-Y24</f>
        <v>6713246.93375587</v>
      </c>
      <c r="Z25" s="14">
        <f>$B$4+SUM('6Detailed Cash Flow'!$O$5:O28)-Z24</f>
        <v>7106924.40429809</v>
      </c>
      <c r="AA25" s="17">
        <f>$B$4+SUM('6Detailed Cash Flow'!$O$5:O29)-AA24</f>
        <v>7513249.3126008</v>
      </c>
      <c r="AB25" s="17">
        <f>$B$4+SUM('6Detailed Cash Flow'!$O$5:O30)-AB24</f>
        <v>7932619.29738971</v>
      </c>
      <c r="AC25" s="17">
        <f>$B$4+SUM('6Detailed Cash Flow'!$O$5:O31)-AC24</f>
        <v>8365444.32292361</v>
      </c>
      <c r="AD25" s="17">
        <f>$B$4+SUM('6Detailed Cash Flow'!$O$5:O32)-AD24</f>
        <v>8812147.05738539</v>
      </c>
      <c r="AE25" s="17">
        <f>$B$4+SUM('6Detailed Cash Flow'!$O$5:O33)-AE24</f>
        <v>9273163.26281248</v>
      </c>
      <c r="AF25" s="17">
        <f>$B$4+SUM('6Detailed Cash Flow'!$O$5:O34)-AF24</f>
        <v>9748942.196917</v>
      </c>
    </row>
    <row r="26" spans="1:32">
      <c r="A26" s="23" t="s">
        <v>549</v>
      </c>
      <c r="B26" s="24">
        <v>0</v>
      </c>
      <c r="C26" s="24">
        <f>B26+'6Detailed Cash Flow'!N5</f>
        <v>295334.0733</v>
      </c>
      <c r="D26" s="24">
        <f>C26+'6Detailed Cash Flow'!N6</f>
        <v>599528.168799</v>
      </c>
      <c r="E26" s="24">
        <f>D26+'6Detailed Cash Flow'!N7</f>
        <v>912848.08716297</v>
      </c>
      <c r="F26" s="24">
        <f>E26+'6Detailed Cash Flow'!N8</f>
        <v>1235567.60307786</v>
      </c>
      <c r="G26" s="24">
        <f>F26+'6Detailed Cash Flow'!N9</f>
        <v>1567968.70447019</v>
      </c>
      <c r="H26" s="24">
        <f>G26+'6Detailed Cash Flow'!N10</f>
        <v>1910341.8389043</v>
      </c>
      <c r="I26" s="24">
        <f>H26+'6Detailed Cash Flow'!N11</f>
        <v>2262986.16737143</v>
      </c>
      <c r="J26" s="24">
        <f>I26+'6Detailed Cash Flow'!N12</f>
        <v>2626209.82569257</v>
      </c>
      <c r="K26" s="24">
        <f>J26+'6Detailed Cash Flow'!N13</f>
        <v>3000330.19376335</v>
      </c>
      <c r="L26" s="24">
        <f>K26+'6Detailed Cash Flow'!N14</f>
        <v>3385674.17287625</v>
      </c>
      <c r="M26" s="24">
        <f>L26+'6Detailed Cash Flow'!N15</f>
        <v>3782578.47136254</v>
      </c>
      <c r="N26" s="24">
        <f>M26+'6Detailed Cash Flow'!N16</f>
        <v>4191389.89880341</v>
      </c>
      <c r="O26" s="24">
        <f>N26+'6Detailed Cash Flow'!N17</f>
        <v>4612465.66906752</v>
      </c>
      <c r="P26" s="24">
        <f>O26+'6Detailed Cash Flow'!N18</f>
        <v>5046173.71243954</v>
      </c>
      <c r="Q26" s="24">
        <f>P26+'6Detailed Cash Flow'!N19</f>
        <v>5492892.99711273</v>
      </c>
      <c r="R26" s="14">
        <f>Q26+'6Detailed Cash Flow'!N20</f>
        <v>5953013.86032611</v>
      </c>
      <c r="S26" s="14">
        <f>R26+'6Detailed Cash Flow'!N21</f>
        <v>6426938.34943589</v>
      </c>
      <c r="T26" s="14">
        <f>S26+'6Detailed Cash Flow'!N22</f>
        <v>6915080.57321897</v>
      </c>
      <c r="U26" s="14">
        <f>T26+'6Detailed Cash Flow'!N23</f>
        <v>7417867.06371554</v>
      </c>
      <c r="V26" s="14">
        <f>U26+'6Detailed Cash Flow'!N24</f>
        <v>7935737.14892701</v>
      </c>
      <c r="W26" s="14">
        <f>V26+'6Detailed Cash Flow'!N25</f>
        <v>8469143.33669482</v>
      </c>
      <c r="X26" s="14">
        <f>W26+'6Detailed Cash Flow'!N26</f>
        <v>9018551.71009566</v>
      </c>
      <c r="Y26" s="14">
        <f>X26+'6Detailed Cash Flow'!N27</f>
        <v>9584442.33469853</v>
      </c>
      <c r="Z26" s="14">
        <f>Y26+'6Detailed Cash Flow'!N28</f>
        <v>10167309.6780395</v>
      </c>
      <c r="AA26" s="17">
        <f>Z26+'6Detailed Cash Flow'!N29</f>
        <v>10767663.0416807</v>
      </c>
      <c r="AB26" s="17">
        <f>AA26+'6Detailed Cash Flow'!N30</f>
        <v>11386027.0062311</v>
      </c>
      <c r="AC26" s="17">
        <f>AB26+'6Detailed Cash Flow'!N31</f>
        <v>12022941.889718</v>
      </c>
      <c r="AD26" s="17">
        <f>AC26+'6Detailed Cash Flow'!N32</f>
        <v>12678964.2197096</v>
      </c>
      <c r="AE26" s="17">
        <f>AD26+'6Detailed Cash Flow'!N33</f>
        <v>13354667.2196009</v>
      </c>
      <c r="AF26" s="17">
        <f>AE26+'6Detailed Cash Flow'!N34</f>
        <v>14050641.3094889</v>
      </c>
    </row>
    <row r="27" spans="1:26">
      <c r="A27" s="23"/>
      <c r="B27" s="23"/>
      <c r="C27" s="23"/>
      <c r="D27" s="23"/>
      <c r="E27" s="23"/>
      <c r="F27" s="23"/>
      <c r="G27" s="23"/>
      <c r="H27" s="23"/>
      <c r="I27" s="23"/>
      <c r="J27" s="23"/>
      <c r="K27" s="23"/>
      <c r="L27" s="23"/>
      <c r="M27" s="23"/>
      <c r="N27" s="23"/>
      <c r="O27" s="23"/>
      <c r="P27" s="23"/>
      <c r="Q27" s="23"/>
      <c r="R27" s="3"/>
      <c r="S27" s="3"/>
      <c r="T27" s="3"/>
      <c r="U27" s="3"/>
      <c r="V27" s="3"/>
      <c r="W27" s="3"/>
      <c r="X27" s="3"/>
      <c r="Y27" s="3"/>
      <c r="Z27" s="3"/>
    </row>
    <row r="28" spans="1:26">
      <c r="A28" s="23" t="s">
        <v>550</v>
      </c>
      <c r="B28" s="23"/>
      <c r="C28" s="23"/>
      <c r="D28" s="23"/>
      <c r="E28" s="23"/>
      <c r="F28" s="23"/>
      <c r="G28" s="23"/>
      <c r="H28" s="23"/>
      <c r="I28" s="23"/>
      <c r="J28" s="23"/>
      <c r="K28" s="23"/>
      <c r="L28" s="23"/>
      <c r="M28" s="23"/>
      <c r="N28" s="23"/>
      <c r="O28" s="23"/>
      <c r="P28" s="23"/>
      <c r="Q28" s="23"/>
      <c r="R28" s="3"/>
      <c r="S28" s="3"/>
      <c r="T28" s="3"/>
      <c r="U28" s="3"/>
      <c r="V28" s="3"/>
      <c r="W28" s="3"/>
      <c r="X28" s="3"/>
      <c r="Y28" s="3"/>
      <c r="Z28" s="3"/>
    </row>
    <row r="29" spans="1:26">
      <c r="A29" s="23"/>
      <c r="B29" s="23"/>
      <c r="C29" s="23"/>
      <c r="D29" s="23"/>
      <c r="E29" s="23"/>
      <c r="F29" s="23"/>
      <c r="G29" s="23"/>
      <c r="H29" s="23"/>
      <c r="I29" s="23"/>
      <c r="J29" s="23"/>
      <c r="K29" s="23"/>
      <c r="L29" s="23"/>
      <c r="M29" s="23"/>
      <c r="N29" s="23"/>
      <c r="O29" s="23"/>
      <c r="P29" s="23"/>
      <c r="Q29" s="23"/>
      <c r="R29" s="3"/>
      <c r="S29" s="3"/>
      <c r="T29" s="3"/>
      <c r="U29" s="3"/>
      <c r="V29" s="3"/>
      <c r="W29" s="3"/>
      <c r="X29" s="3"/>
      <c r="Y29" s="3"/>
      <c r="Z29" s="3"/>
    </row>
    <row r="30" spans="1:26">
      <c r="A30" s="23"/>
      <c r="B30" s="23"/>
      <c r="C30" s="23"/>
      <c r="D30" s="23"/>
      <c r="E30" s="23"/>
      <c r="F30" s="23"/>
      <c r="G30" s="23"/>
      <c r="H30" s="23"/>
      <c r="I30" s="23"/>
      <c r="J30" s="23"/>
      <c r="K30" s="23"/>
      <c r="L30" s="23"/>
      <c r="M30" s="23"/>
      <c r="N30" s="23"/>
      <c r="O30" s="23"/>
      <c r="P30" s="23"/>
      <c r="Q30" s="2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sheetData>
  <mergeCells count="4">
    <mergeCell ref="A1:J1"/>
    <mergeCell ref="A1:Q1"/>
    <mergeCell ref="A26:Q29"/>
    <mergeCell ref="A28:Q30"/>
  </mergeCells>
  <pageMargins left="0.7" right="0.7" top="0.75" bottom="0.75" header="0.3" footer="0.3"/>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0"/>
  <sheetViews>
    <sheetView workbookViewId="0">
      <selection activeCell="B40" sqref="B40"/>
    </sheetView>
  </sheetViews>
  <sheetFormatPr defaultColWidth="9" defaultRowHeight="16.8"/>
  <cols>
    <col min="1" max="1" width="14.4632352941176" customWidth="1"/>
    <col min="2" max="2" width="20" customWidth="1"/>
    <col min="3" max="3" width="22" customWidth="1"/>
    <col min="4" max="4" width="18" customWidth="1"/>
    <col min="5" max="5" width="16" customWidth="1"/>
    <col min="6" max="6" width="19" customWidth="1"/>
    <col min="7" max="7" width="21" customWidth="1"/>
    <col min="8" max="8" width="20" customWidth="1"/>
    <col min="9" max="9" width="18" customWidth="1"/>
    <col min="10" max="10" width="20" customWidth="1"/>
    <col min="11" max="11" width="13" customWidth="1"/>
    <col min="12" max="12" width="20" customWidth="1"/>
    <col min="13" max="13" width="18" customWidth="1"/>
    <col min="14" max="15" width="20" customWidth="1"/>
    <col min="16" max="16" width="22" customWidth="1"/>
    <col min="17" max="17" width="25" customWidth="1"/>
  </cols>
  <sheetData>
    <row r="1" ht="22" spans="1:26">
      <c r="A1" s="19" t="s">
        <v>551</v>
      </c>
      <c r="B1" s="19"/>
      <c r="C1" s="19"/>
      <c r="D1" s="19"/>
      <c r="E1" s="19"/>
      <c r="F1" s="19"/>
      <c r="G1" s="19"/>
      <c r="H1" s="19"/>
      <c r="I1" s="19"/>
      <c r="J1" s="19"/>
      <c r="K1" s="19"/>
      <c r="L1" s="19"/>
      <c r="M1" s="19"/>
      <c r="N1" s="19"/>
      <c r="O1" s="19"/>
      <c r="P1" s="19"/>
      <c r="Q1" s="19"/>
      <c r="R1" s="3"/>
      <c r="S1" s="3"/>
      <c r="T1" s="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ht="34" spans="1:26">
      <c r="A3" s="4" t="s">
        <v>540</v>
      </c>
      <c r="B3" s="4" t="s">
        <v>552</v>
      </c>
      <c r="C3" s="4" t="s">
        <v>553</v>
      </c>
      <c r="D3" s="4" t="s">
        <v>266</v>
      </c>
      <c r="E3" s="4" t="s">
        <v>554</v>
      </c>
      <c r="F3" s="4" t="s">
        <v>555</v>
      </c>
      <c r="G3" s="4" t="s">
        <v>556</v>
      </c>
      <c r="H3" s="4" t="s">
        <v>557</v>
      </c>
      <c r="I3" s="4" t="s">
        <v>541</v>
      </c>
      <c r="J3" s="4" t="s">
        <v>542</v>
      </c>
      <c r="K3" s="4" t="s">
        <v>558</v>
      </c>
      <c r="L3" s="4" t="s">
        <v>543</v>
      </c>
      <c r="M3" s="4" t="s">
        <v>544</v>
      </c>
      <c r="N3" s="4" t="s">
        <v>559</v>
      </c>
      <c r="O3" s="4" t="s">
        <v>560</v>
      </c>
      <c r="P3" s="4" t="s">
        <v>561</v>
      </c>
      <c r="Q3" s="4" t="s">
        <v>562</v>
      </c>
      <c r="R3" s="3"/>
      <c r="S3" s="3"/>
      <c r="T3" s="3"/>
      <c r="U3" s="3"/>
      <c r="V3" s="3"/>
      <c r="W3" s="3"/>
      <c r="X3" s="3"/>
      <c r="Y3" s="3"/>
      <c r="Z3" s="3"/>
    </row>
    <row r="4" spans="1:26">
      <c r="A4" s="20">
        <v>0</v>
      </c>
      <c r="B4" s="14">
        <f>-'3Rebates Incentives'!D4</f>
        <v>-1074972.3</v>
      </c>
      <c r="C4" s="14">
        <v>0</v>
      </c>
      <c r="D4" s="14">
        <v>0</v>
      </c>
      <c r="E4" s="14">
        <v>0</v>
      </c>
      <c r="F4" s="14">
        <v>0</v>
      </c>
      <c r="G4" s="14">
        <v>0</v>
      </c>
      <c r="H4" s="14">
        <v>0</v>
      </c>
      <c r="I4" s="14">
        <f t="shared" ref="I4:I34" si="0">B4+C4+H4</f>
        <v>-1074972.3</v>
      </c>
      <c r="J4" s="14">
        <f>I4</f>
        <v>-1074972.3</v>
      </c>
      <c r="K4" s="22">
        <f>1</f>
        <v>1</v>
      </c>
      <c r="L4" s="14">
        <f>I4</f>
        <v>-1074972.3</v>
      </c>
      <c r="M4" s="14">
        <f>L4</f>
        <v>-1074972.3</v>
      </c>
      <c r="N4" s="14">
        <v>0</v>
      </c>
      <c r="O4" s="14">
        <v>0</v>
      </c>
      <c r="P4" s="14">
        <v>0</v>
      </c>
      <c r="Q4" s="14">
        <f>-I4</f>
        <v>1074972.3</v>
      </c>
      <c r="R4" s="3"/>
      <c r="S4" s="3"/>
      <c r="T4" s="3"/>
      <c r="U4" s="3"/>
      <c r="V4" s="3"/>
      <c r="W4" s="3"/>
      <c r="X4" s="3"/>
      <c r="Y4" s="3"/>
      <c r="Z4" s="3"/>
    </row>
    <row r="5" spans="1:26">
      <c r="A5" s="20">
        <v>1</v>
      </c>
      <c r="B5" s="14">
        <v>0</v>
      </c>
      <c r="C5" s="14">
        <f>'3Rebates Incentives'!B19</f>
        <v>526091.44362</v>
      </c>
      <c r="D5" s="14">
        <f>'4Electric Bills'!V16*(1+'Model Assumptions'!$C$21)^(A5-1)*(1-'Model Assumptions'!$C$22)^(A5-1)</f>
        <v>57593.0376102109</v>
      </c>
      <c r="E5" s="14">
        <f>'4Electric Bills'!X16*(1+'Model Assumptions'!$C$21)^(A5-1)*(1-'Model Assumptions'!$C$22)^(A5-1)</f>
        <v>4327.19528410569</v>
      </c>
      <c r="F5" s="14">
        <f>'4Electric Bills'!Y16*(1+'Model Assumptions'!$C$21)^(A5-1)</f>
        <v>5012.63865781531</v>
      </c>
      <c r="G5" s="14">
        <f>'4Electric Bills'!W16*(1+'Model Assumptions'!$C$21)^(A5-1)</f>
        <v>39372.7534328516</v>
      </c>
      <c r="H5" s="14">
        <f t="shared" ref="H5:H34" si="1">SUM(D5:G5)</f>
        <v>106305.624984983</v>
      </c>
      <c r="I5" s="14">
        <f t="shared" si="0"/>
        <v>632397.068604983</v>
      </c>
      <c r="J5" s="14">
        <f t="shared" ref="J5:J34" si="2">J4+I5</f>
        <v>-442575.231395016</v>
      </c>
      <c r="K5" s="22">
        <f>1/(1+'Model Assumptions'!$C$20)^A5</f>
        <v>0.952380952380952</v>
      </c>
      <c r="L5" s="14">
        <f t="shared" ref="L5:L34" si="3">I5*K5</f>
        <v>602282.922480936</v>
      </c>
      <c r="M5" s="14">
        <f t="shared" ref="M5:M34" si="4">M4+L5</f>
        <v>-472689.377519064</v>
      </c>
      <c r="N5" s="14">
        <f>'4Electric Bills'!K16*(1+'Model Assumptions'!$C$21)^A5</f>
        <v>295334.0733</v>
      </c>
      <c r="O5" s="14">
        <f t="shared" ref="O5:O34" si="5">MAX(N5-H5,0)</f>
        <v>189028.448315017</v>
      </c>
      <c r="P5" s="14">
        <f t="shared" ref="P5:P34" si="6">P4+N5</f>
        <v>295334.0733</v>
      </c>
      <c r="Q5" s="14">
        <f t="shared" ref="Q5:Q34" si="7">Q4+O5</f>
        <v>1264000.74831502</v>
      </c>
      <c r="R5" s="3"/>
      <c r="S5" s="3"/>
      <c r="T5" s="3"/>
      <c r="U5" s="3"/>
      <c r="V5" s="3"/>
      <c r="W5" s="3"/>
      <c r="X5" s="3"/>
      <c r="Y5" s="3"/>
      <c r="Z5" s="3"/>
    </row>
    <row r="6" spans="1:26">
      <c r="A6" s="20">
        <v>2</v>
      </c>
      <c r="B6" s="14">
        <v>0</v>
      </c>
      <c r="C6" s="14">
        <f>'3Rebates Incentives'!C19</f>
        <v>62606.386752</v>
      </c>
      <c r="D6" s="14">
        <f>'4Electric Bills'!V16*(1+'Model Assumptions'!$C$21)^(A6-1)*(1-'Model Assumptions'!$C$22)^(A6-1)</f>
        <v>58846.2621086091</v>
      </c>
      <c r="E6" s="14">
        <f>'4Electric Bills'!X16*(1+'Model Assumptions'!$C$21)^(A6-1)*(1-'Model Assumptions'!$C$22)^(A6-1)</f>
        <v>4421.35505348783</v>
      </c>
      <c r="F6" s="14">
        <f>'4Electric Bills'!Y16*(1+'Model Assumptions'!$C$21)^(A6-1)</f>
        <v>5163.01781754977</v>
      </c>
      <c r="G6" s="14">
        <f>'4Electric Bills'!W16*(1+'Model Assumptions'!$C$21)^(A6-1)</f>
        <v>40553.9360358372</v>
      </c>
      <c r="H6" s="14">
        <f t="shared" si="1"/>
        <v>108984.571015484</v>
      </c>
      <c r="I6" s="14">
        <f t="shared" si="0"/>
        <v>171590.957767484</v>
      </c>
      <c r="J6" s="14">
        <f t="shared" si="2"/>
        <v>-270984.273627533</v>
      </c>
      <c r="K6" s="22">
        <f>1/(1+'Model Assumptions'!$C$20)^A6</f>
        <v>0.90702947845805</v>
      </c>
      <c r="L6" s="14">
        <f t="shared" si="3"/>
        <v>155638.056931958</v>
      </c>
      <c r="M6" s="14">
        <f t="shared" si="4"/>
        <v>-317051.320587105</v>
      </c>
      <c r="N6" s="14">
        <f>'4Electric Bills'!K16*(1+'Model Assumptions'!$C$21)^A6</f>
        <v>304194.095499</v>
      </c>
      <c r="O6" s="14">
        <f t="shared" si="5"/>
        <v>195209.524483516</v>
      </c>
      <c r="P6" s="14">
        <f t="shared" si="6"/>
        <v>599528.168799</v>
      </c>
      <c r="Q6" s="14">
        <f t="shared" si="7"/>
        <v>1459210.27279853</v>
      </c>
      <c r="R6" s="3"/>
      <c r="S6" s="3"/>
      <c r="T6" s="3"/>
      <c r="U6" s="3"/>
      <c r="V6" s="3"/>
      <c r="W6" s="3"/>
      <c r="X6" s="3"/>
      <c r="Y6" s="3"/>
      <c r="Z6" s="3"/>
    </row>
    <row r="7" spans="1:26">
      <c r="A7" s="20">
        <v>3</v>
      </c>
      <c r="B7" s="14">
        <v>0</v>
      </c>
      <c r="C7" s="14">
        <f>'3Rebates Incentives'!D19</f>
        <v>37563.8320512</v>
      </c>
      <c r="D7" s="14">
        <f>'4Electric Bills'!V16*(1+'Model Assumptions'!$C$21)^(A7-1)*(1-'Model Assumptions'!$C$22)^(A7-1)</f>
        <v>60126.7567720924</v>
      </c>
      <c r="E7" s="14">
        <f>'4Electric Bills'!X16*(1+'Model Assumptions'!$C$21)^(A7-1)*(1-'Model Assumptions'!$C$22)^(A7-1)</f>
        <v>4517.56373945172</v>
      </c>
      <c r="F7" s="14">
        <f>'4Electric Bills'!Y16*(1+'Model Assumptions'!$C$21)^(A7-1)</f>
        <v>5317.90835207627</v>
      </c>
      <c r="G7" s="14">
        <f>'4Electric Bills'!W16*(1+'Model Assumptions'!$C$21)^(A7-1)</f>
        <v>41770.5541169123</v>
      </c>
      <c r="H7" s="14">
        <f t="shared" si="1"/>
        <v>111732.782980533</v>
      </c>
      <c r="I7" s="14">
        <f t="shared" si="0"/>
        <v>149296.615031733</v>
      </c>
      <c r="J7" s="14">
        <f t="shared" si="2"/>
        <v>-121687.6585958</v>
      </c>
      <c r="K7" s="22">
        <f>1/(1+'Model Assumptions'!$C$20)^A7</f>
        <v>0.863837598531476</v>
      </c>
      <c r="L7" s="14">
        <f t="shared" si="3"/>
        <v>128968.02939789</v>
      </c>
      <c r="M7" s="14">
        <f t="shared" si="4"/>
        <v>-188083.291189215</v>
      </c>
      <c r="N7" s="14">
        <f>'4Electric Bills'!K16*(1+'Model Assumptions'!$C$21)^A7</f>
        <v>313319.91836397</v>
      </c>
      <c r="O7" s="14">
        <f t="shared" si="5"/>
        <v>201587.135383437</v>
      </c>
      <c r="P7" s="14">
        <f t="shared" si="6"/>
        <v>912848.08716297</v>
      </c>
      <c r="Q7" s="14">
        <f t="shared" si="7"/>
        <v>1660797.40818197</v>
      </c>
      <c r="R7" s="3"/>
      <c r="S7" s="3"/>
      <c r="T7" s="3"/>
      <c r="U7" s="3"/>
      <c r="V7" s="3"/>
      <c r="W7" s="3"/>
      <c r="X7" s="3"/>
      <c r="Y7" s="3"/>
      <c r="Z7" s="3"/>
    </row>
    <row r="8" spans="1:26">
      <c r="A8" s="20">
        <v>4</v>
      </c>
      <c r="B8" s="14">
        <v>0</v>
      </c>
      <c r="C8" s="14">
        <f>'3Rebates Incentives'!E19</f>
        <v>22538.29923072</v>
      </c>
      <c r="D8" s="14">
        <f>'4Electric Bills'!V16*(1+'Model Assumptions'!$C$21)^(A8-1)*(1-'Model Assumptions'!$C$22)^(A8-1)</f>
        <v>61435.1149994531</v>
      </c>
      <c r="E8" s="14">
        <f>'4Electric Bills'!X16*(1+'Model Assumptions'!$C$21)^(A8-1)*(1-'Model Assumptions'!$C$22)^(A8-1)</f>
        <v>4615.86592642219</v>
      </c>
      <c r="F8" s="14">
        <f>'4Electric Bills'!Y16*(1+'Model Assumptions'!$C$21)^(A8-1)</f>
        <v>5477.44560263855</v>
      </c>
      <c r="G8" s="14">
        <f>'4Electric Bills'!W16*(1+'Model Assumptions'!$C$21)^(A8-1)</f>
        <v>43023.6707404197</v>
      </c>
      <c r="H8" s="14">
        <f t="shared" si="1"/>
        <v>114552.097268934</v>
      </c>
      <c r="I8" s="14">
        <f t="shared" si="0"/>
        <v>137090.396499654</v>
      </c>
      <c r="J8" s="14">
        <f t="shared" si="2"/>
        <v>15402.7379038538</v>
      </c>
      <c r="K8" s="22">
        <f>1/(1+'Model Assumptions'!$C$20)^A8</f>
        <v>0.822702474791882</v>
      </c>
      <c r="L8" s="14">
        <f t="shared" si="3"/>
        <v>112784.608470465</v>
      </c>
      <c r="M8" s="14">
        <f t="shared" si="4"/>
        <v>-75298.6827187498</v>
      </c>
      <c r="N8" s="14">
        <f>'4Electric Bills'!K16*(1+'Model Assumptions'!$C$21)^A8</f>
        <v>322719.515914889</v>
      </c>
      <c r="O8" s="14">
        <f t="shared" si="5"/>
        <v>208167.418645955</v>
      </c>
      <c r="P8" s="14">
        <f t="shared" si="6"/>
        <v>1235567.60307786</v>
      </c>
      <c r="Q8" s="14">
        <f t="shared" si="7"/>
        <v>1868964.82682793</v>
      </c>
      <c r="R8" s="3"/>
      <c r="S8" s="3"/>
      <c r="T8" s="3"/>
      <c r="U8" s="3"/>
      <c r="V8" s="3"/>
      <c r="W8" s="3"/>
      <c r="X8" s="3"/>
      <c r="Y8" s="3"/>
      <c r="Z8" s="3"/>
    </row>
    <row r="9" spans="1:26">
      <c r="A9" s="20">
        <v>5</v>
      </c>
      <c r="B9" s="14">
        <v>0</v>
      </c>
      <c r="C9" s="14">
        <f>'3Rebates Incentives'!F19</f>
        <v>22538.29923072</v>
      </c>
      <c r="D9" s="14">
        <f>'4Electric Bills'!V16*(1+'Model Assumptions'!$C$21)^(A9-1)*(1-'Model Assumptions'!$C$22)^(A9-1)</f>
        <v>62771.9431018412</v>
      </c>
      <c r="E9" s="14">
        <f>'4Electric Bills'!X16*(1+'Model Assumptions'!$C$21)^(A9-1)*(1-'Model Assumptions'!$C$22)^(A9-1)</f>
        <v>4716.30716898114</v>
      </c>
      <c r="F9" s="14">
        <f>'4Electric Bills'!Y16*(1+'Model Assumptions'!$C$21)^(A9-1)</f>
        <v>5641.76897071771</v>
      </c>
      <c r="G9" s="14">
        <f>'4Electric Bills'!W16*(1+'Model Assumptions'!$C$21)^(A9-1)</f>
        <v>44314.3808626323</v>
      </c>
      <c r="H9" s="14">
        <f t="shared" si="1"/>
        <v>117444.400104172</v>
      </c>
      <c r="I9" s="14">
        <f t="shared" si="0"/>
        <v>139982.699334892</v>
      </c>
      <c r="J9" s="14">
        <f t="shared" si="2"/>
        <v>155385.437238746</v>
      </c>
      <c r="K9" s="22">
        <f>1/(1+'Model Assumptions'!$C$20)^A9</f>
        <v>0.783526166468459</v>
      </c>
      <c r="L9" s="14">
        <f t="shared" si="3"/>
        <v>109680.107781775</v>
      </c>
      <c r="M9" s="14">
        <f t="shared" si="4"/>
        <v>34381.4250630254</v>
      </c>
      <c r="N9" s="14">
        <f>'4Electric Bills'!K16*(1+'Model Assumptions'!$C$21)^A9</f>
        <v>332401.101392336</v>
      </c>
      <c r="O9" s="14">
        <f t="shared" si="5"/>
        <v>214956.701288164</v>
      </c>
      <c r="P9" s="14">
        <f t="shared" si="6"/>
        <v>1567968.70447019</v>
      </c>
      <c r="Q9" s="14">
        <f t="shared" si="7"/>
        <v>2083921.52811609</v>
      </c>
      <c r="R9" s="3"/>
      <c r="S9" s="3"/>
      <c r="T9" s="3"/>
      <c r="U9" s="3"/>
      <c r="V9" s="3"/>
      <c r="W9" s="3"/>
      <c r="X9" s="3"/>
      <c r="Y9" s="3"/>
      <c r="Z9" s="3"/>
    </row>
    <row r="10" spans="1:26">
      <c r="A10" s="20">
        <v>6</v>
      </c>
      <c r="B10" s="14">
        <v>0</v>
      </c>
      <c r="C10" s="14">
        <f>'3Rebates Incentives'!G19</f>
        <v>11269.14961536</v>
      </c>
      <c r="D10" s="14">
        <f>'4Electric Bills'!V16*(1+'Model Assumptions'!$C$21)^(A10-1)*(1-'Model Assumptions'!$C$22)^(A10-1)</f>
        <v>64137.8605837373</v>
      </c>
      <c r="E10" s="14">
        <f>'4Electric Bills'!X16*(1+'Model Assumptions'!$C$21)^(A10-1)*(1-'Model Assumptions'!$C$22)^(A10-1)</f>
        <v>4818.93401297817</v>
      </c>
      <c r="F10" s="14">
        <f>'4Electric Bills'!Y16*(1+'Model Assumptions'!$C$21)^(A10-1)</f>
        <v>5811.02203983924</v>
      </c>
      <c r="G10" s="14">
        <f>'4Electric Bills'!W16*(1+'Model Assumptions'!$C$21)^(A10-1)</f>
        <v>45643.8122885112</v>
      </c>
      <c r="H10" s="14">
        <f t="shared" si="1"/>
        <v>120411.628925066</v>
      </c>
      <c r="I10" s="14">
        <f t="shared" si="0"/>
        <v>131680.778540426</v>
      </c>
      <c r="J10" s="14">
        <f t="shared" si="2"/>
        <v>287066.215779172</v>
      </c>
      <c r="K10" s="22">
        <f>1/(1+'Model Assumptions'!$C$20)^A10</f>
        <v>0.746215396636627</v>
      </c>
      <c r="L10" s="14">
        <f t="shared" si="3"/>
        <v>98262.2243879638</v>
      </c>
      <c r="M10" s="14">
        <f t="shared" si="4"/>
        <v>132643.649450989</v>
      </c>
      <c r="N10" s="14">
        <f>'4Electric Bills'!K16*(1+'Model Assumptions'!$C$21)^A10</f>
        <v>342373.134434106</v>
      </c>
      <c r="O10" s="14">
        <f t="shared" si="5"/>
        <v>221961.50550904</v>
      </c>
      <c r="P10" s="14">
        <f t="shared" si="6"/>
        <v>1910341.8389043</v>
      </c>
      <c r="Q10" s="14">
        <f t="shared" si="7"/>
        <v>2305883.03362513</v>
      </c>
      <c r="R10" s="3"/>
      <c r="S10" s="3"/>
      <c r="T10" s="3"/>
      <c r="U10" s="3"/>
      <c r="V10" s="3"/>
      <c r="W10" s="3"/>
      <c r="X10" s="3"/>
      <c r="Y10" s="3"/>
      <c r="Z10" s="3"/>
    </row>
    <row r="11" spans="1:26">
      <c r="A11" s="20">
        <v>7</v>
      </c>
      <c r="B11" s="14">
        <v>0</v>
      </c>
      <c r="C11" s="14">
        <v>0</v>
      </c>
      <c r="D11" s="14">
        <f>'4Electric Bills'!V16*(1+'Model Assumptions'!$C$21)^(A11-1)*(1-'Model Assumptions'!$C$22)^(A11-1)</f>
        <v>65533.5004300394</v>
      </c>
      <c r="E11" s="14">
        <f>'4Electric Bills'!X16*(1+'Model Assumptions'!$C$21)^(A11-1)*(1-'Model Assumptions'!$C$22)^(A11-1)</f>
        <v>4923.79401710057</v>
      </c>
      <c r="F11" s="14">
        <f>'4Electric Bills'!Y16*(1+'Model Assumptions'!$C$21)^(A11-1)</f>
        <v>5985.35270103442</v>
      </c>
      <c r="G11" s="14">
        <f>'4Electric Bills'!W16*(1+'Model Assumptions'!$C$21)^(A11-1)</f>
        <v>47013.1266571666</v>
      </c>
      <c r="H11" s="14">
        <f t="shared" si="1"/>
        <v>123455.773805341</v>
      </c>
      <c r="I11" s="14">
        <f t="shared" si="0"/>
        <v>123455.773805341</v>
      </c>
      <c r="J11" s="14">
        <f t="shared" si="2"/>
        <v>410521.989584513</v>
      </c>
      <c r="K11" s="22">
        <f>1/(1+'Model Assumptions'!$C$20)^A11</f>
        <v>0.710681330130121</v>
      </c>
      <c r="L11" s="14">
        <f t="shared" si="3"/>
        <v>87737.7135402231</v>
      </c>
      <c r="M11" s="14">
        <f t="shared" si="4"/>
        <v>220381.362991212</v>
      </c>
      <c r="N11" s="14">
        <f>'4Electric Bills'!K16*(1+'Model Assumptions'!$C$21)^A11</f>
        <v>352644.328467129</v>
      </c>
      <c r="O11" s="14">
        <f t="shared" si="5"/>
        <v>229188.554661788</v>
      </c>
      <c r="P11" s="14">
        <f t="shared" si="6"/>
        <v>2262986.16737143</v>
      </c>
      <c r="Q11" s="14">
        <f t="shared" si="7"/>
        <v>2535071.58828692</v>
      </c>
      <c r="R11" s="3"/>
      <c r="S11" s="3"/>
      <c r="T11" s="3"/>
      <c r="U11" s="3"/>
      <c r="V11" s="3"/>
      <c r="W11" s="3"/>
      <c r="X11" s="3"/>
      <c r="Y11" s="3"/>
      <c r="Z11" s="3"/>
    </row>
    <row r="12" spans="1:26">
      <c r="A12" s="20">
        <v>8</v>
      </c>
      <c r="B12" s="14">
        <v>0</v>
      </c>
      <c r="C12" s="14">
        <v>0</v>
      </c>
      <c r="D12" s="14">
        <f>'4Electric Bills'!V16*(1+'Model Assumptions'!$C$21)^(A12-1)*(1-'Model Assumptions'!$C$22)^(A12-1)</f>
        <v>66959.5093993971</v>
      </c>
      <c r="E12" s="14">
        <f>'4Electric Bills'!X16*(1+'Model Assumptions'!$C$21)^(A12-1)*(1-'Model Assumptions'!$C$22)^(A12-1)</f>
        <v>5030.93577491268</v>
      </c>
      <c r="F12" s="14">
        <f>'4Electric Bills'!Y16*(1+'Model Assumptions'!$C$21)^(A12-1)</f>
        <v>6164.91328206545</v>
      </c>
      <c r="G12" s="14">
        <f>'4Electric Bills'!W16*(1+'Model Assumptions'!$C$21)^(A12-1)</f>
        <v>48423.5204568816</v>
      </c>
      <c r="H12" s="14">
        <f t="shared" si="1"/>
        <v>126578.878913257</v>
      </c>
      <c r="I12" s="14">
        <f t="shared" si="0"/>
        <v>126578.878913257</v>
      </c>
      <c r="J12" s="14">
        <f t="shared" si="2"/>
        <v>537100.86849777</v>
      </c>
      <c r="K12" s="22">
        <f>1/(1+'Model Assumptions'!$C$20)^A12</f>
        <v>0.676839362028687</v>
      </c>
      <c r="L12" s="14">
        <f t="shared" si="3"/>
        <v>85673.5676499552</v>
      </c>
      <c r="M12" s="14">
        <f t="shared" si="4"/>
        <v>306054.930641167</v>
      </c>
      <c r="N12" s="14">
        <f>'4Electric Bills'!K16*(1+'Model Assumptions'!$C$21)^A12</f>
        <v>363223.658321143</v>
      </c>
      <c r="O12" s="14">
        <f t="shared" si="5"/>
        <v>236644.779407886</v>
      </c>
      <c r="P12" s="14">
        <f t="shared" si="6"/>
        <v>2626209.82569257</v>
      </c>
      <c r="Q12" s="14">
        <f t="shared" si="7"/>
        <v>2771716.3676948</v>
      </c>
      <c r="R12" s="3"/>
      <c r="S12" s="3"/>
      <c r="T12" s="3"/>
      <c r="U12" s="3"/>
      <c r="V12" s="3"/>
      <c r="W12" s="3"/>
      <c r="X12" s="3"/>
      <c r="Y12" s="3"/>
      <c r="Z12" s="3"/>
    </row>
    <row r="13" spans="1:26">
      <c r="A13" s="20">
        <v>9</v>
      </c>
      <c r="B13" s="14">
        <v>0</v>
      </c>
      <c r="C13" s="14">
        <v>0</v>
      </c>
      <c r="D13" s="14">
        <f>'4Electric Bills'!V16*(1+'Model Assumptions'!$C$21)^(A13-1)*(1-'Model Assumptions'!$C$22)^(A13-1)</f>
        <v>68416.548323928</v>
      </c>
      <c r="E13" s="14">
        <f>'4Electric Bills'!X16*(1+'Model Assumptions'!$C$21)^(A13-1)*(1-'Model Assumptions'!$C$22)^(A13-1)</f>
        <v>5140.40893737478</v>
      </c>
      <c r="F13" s="14">
        <f>'4Electric Bills'!Y16*(1+'Model Assumptions'!$C$21)^(A13-1)</f>
        <v>6349.86068052742</v>
      </c>
      <c r="G13" s="14">
        <f>'4Electric Bills'!W16*(1+'Model Assumptions'!$C$21)^(A13-1)</f>
        <v>49876.226070588</v>
      </c>
      <c r="H13" s="14">
        <f t="shared" si="1"/>
        <v>129783.044012418</v>
      </c>
      <c r="I13" s="14">
        <f t="shared" si="0"/>
        <v>129783.044012418</v>
      </c>
      <c r="J13" s="14">
        <f t="shared" si="2"/>
        <v>666883.912510188</v>
      </c>
      <c r="K13" s="22">
        <f>1/(1+'Model Assumptions'!$C$20)^A13</f>
        <v>0.644608916217797</v>
      </c>
      <c r="L13" s="14">
        <f t="shared" si="3"/>
        <v>83659.3073442915</v>
      </c>
      <c r="M13" s="14">
        <f t="shared" si="4"/>
        <v>389714.237985459</v>
      </c>
      <c r="N13" s="14">
        <f>'4Electric Bills'!K16*(1+'Model Assumptions'!$C$21)^A13</f>
        <v>374120.368070777</v>
      </c>
      <c r="O13" s="14">
        <f t="shared" si="5"/>
        <v>244337.324058359</v>
      </c>
      <c r="P13" s="14">
        <f t="shared" si="6"/>
        <v>3000330.19376335</v>
      </c>
      <c r="Q13" s="14">
        <f t="shared" si="7"/>
        <v>3016053.69175316</v>
      </c>
      <c r="R13" s="3"/>
      <c r="S13" s="3"/>
      <c r="T13" s="3"/>
      <c r="U13" s="3"/>
      <c r="V13" s="3"/>
      <c r="W13" s="3"/>
      <c r="X13" s="3"/>
      <c r="Y13" s="3"/>
      <c r="Z13" s="3"/>
    </row>
    <row r="14" spans="1:26">
      <c r="A14" s="20">
        <v>10</v>
      </c>
      <c r="B14" s="14">
        <v>0</v>
      </c>
      <c r="C14" s="14">
        <v>0</v>
      </c>
      <c r="D14" s="14">
        <f>'4Electric Bills'!V16*(1+'Model Assumptions'!$C$21)^(A14-1)*(1-'Model Assumptions'!$C$22)^(A14-1)</f>
        <v>69905.2924154567</v>
      </c>
      <c r="E14" s="14">
        <f>'4Electric Bills'!X16*(1+'Model Assumptions'!$C$21)^(A14-1)*(1-'Model Assumptions'!$C$22)^(A14-1)</f>
        <v>5252.26423585206</v>
      </c>
      <c r="F14" s="14">
        <f>'4Electric Bills'!Y16*(1+'Model Assumptions'!$C$21)^(A14-1)</f>
        <v>6540.35650094324</v>
      </c>
      <c r="G14" s="14">
        <f>'4Electric Bills'!W16*(1+'Model Assumptions'!$C$21)^(A14-1)</f>
        <v>51372.5128527057</v>
      </c>
      <c r="H14" s="14">
        <f t="shared" si="1"/>
        <v>133070.426004958</v>
      </c>
      <c r="I14" s="14">
        <f t="shared" si="0"/>
        <v>133070.426004958</v>
      </c>
      <c r="J14" s="14">
        <f t="shared" si="2"/>
        <v>799954.338515146</v>
      </c>
      <c r="K14" s="22">
        <f>1/(1+'Model Assumptions'!$C$20)^A14</f>
        <v>0.613913253540759</v>
      </c>
      <c r="L14" s="14">
        <f t="shared" si="3"/>
        <v>81693.6981787584</v>
      </c>
      <c r="M14" s="14">
        <f t="shared" si="4"/>
        <v>471407.936164217</v>
      </c>
      <c r="N14" s="14">
        <f>'4Electric Bills'!K16*(1+'Model Assumptions'!$C$21)^A14</f>
        <v>385343.979112901</v>
      </c>
      <c r="O14" s="14">
        <f t="shared" si="5"/>
        <v>252273.553107943</v>
      </c>
      <c r="P14" s="14">
        <f t="shared" si="6"/>
        <v>3385674.17287625</v>
      </c>
      <c r="Q14" s="14">
        <f t="shared" si="7"/>
        <v>3268327.24486111</v>
      </c>
      <c r="R14" s="3"/>
      <c r="S14" s="3"/>
      <c r="T14" s="3"/>
      <c r="U14" s="3"/>
      <c r="V14" s="3"/>
      <c r="W14" s="3"/>
      <c r="X14" s="3"/>
      <c r="Y14" s="3"/>
      <c r="Z14" s="3"/>
    </row>
    <row r="15" spans="1:26">
      <c r="A15" s="20">
        <v>11</v>
      </c>
      <c r="B15" s="14">
        <v>0</v>
      </c>
      <c r="C15" s="14">
        <v>0</v>
      </c>
      <c r="D15" s="14">
        <f>'4Electric Bills'!V16*(1+'Model Assumptions'!$C$21)^(A15-1)*(1-'Model Assumptions'!$C$22)^(A15-1)</f>
        <v>71426.431578417</v>
      </c>
      <c r="E15" s="14">
        <f>'4Electric Bills'!X16*(1+'Model Assumptions'!$C$21)^(A15-1)*(1-'Model Assumptions'!$C$22)^(A15-1)</f>
        <v>5366.5535056242</v>
      </c>
      <c r="F15" s="14">
        <f>'4Electric Bills'!Y16*(1+'Model Assumptions'!$C$21)^(A15-1)</f>
        <v>6736.56719597154</v>
      </c>
      <c r="G15" s="14">
        <f>'4Electric Bills'!W16*(1+'Model Assumptions'!$C$21)^(A15-1)</f>
        <v>52913.6882382868</v>
      </c>
      <c r="H15" s="14">
        <f t="shared" si="1"/>
        <v>136443.2405183</v>
      </c>
      <c r="I15" s="14">
        <f t="shared" si="0"/>
        <v>136443.2405183</v>
      </c>
      <c r="J15" s="14">
        <f t="shared" si="2"/>
        <v>936397.579033445</v>
      </c>
      <c r="K15" s="22">
        <f>1/(1+'Model Assumptions'!$C$20)^A15</f>
        <v>0.584679289086437</v>
      </c>
      <c r="L15" s="14">
        <f t="shared" si="3"/>
        <v>79775.5368668891</v>
      </c>
      <c r="M15" s="14">
        <f t="shared" si="4"/>
        <v>551183.473031106</v>
      </c>
      <c r="N15" s="14">
        <f>'4Electric Bills'!K16*(1+'Model Assumptions'!$C$21)^A15</f>
        <v>396904.298486288</v>
      </c>
      <c r="O15" s="14">
        <f t="shared" si="5"/>
        <v>260461.057967988</v>
      </c>
      <c r="P15" s="14">
        <f t="shared" si="6"/>
        <v>3782578.47136254</v>
      </c>
      <c r="Q15" s="14">
        <f t="shared" si="7"/>
        <v>3528788.30282909</v>
      </c>
      <c r="R15" s="3"/>
      <c r="S15" s="3"/>
      <c r="T15" s="3"/>
      <c r="U15" s="3"/>
      <c r="V15" s="3"/>
      <c r="W15" s="3"/>
      <c r="X15" s="3"/>
      <c r="Y15" s="3"/>
      <c r="Z15" s="3"/>
    </row>
    <row r="16" spans="1:26">
      <c r="A16" s="20">
        <v>12</v>
      </c>
      <c r="B16" s="14">
        <v>0</v>
      </c>
      <c r="C16" s="14">
        <v>0</v>
      </c>
      <c r="D16" s="14">
        <f>'4Electric Bills'!V16*(1+'Model Assumptions'!$C$21)^(A16-1)*(1-'Model Assumptions'!$C$22)^(A16-1)</f>
        <v>72980.6707295633</v>
      </c>
      <c r="E16" s="14">
        <f>'4Electric Bills'!X16*(1+'Model Assumptions'!$C$21)^(A16-1)*(1-'Model Assumptions'!$C$22)^(A16-1)</f>
        <v>5483.32970990658</v>
      </c>
      <c r="F16" s="14">
        <f>'4Electric Bills'!Y16*(1+'Model Assumptions'!$C$21)^(A16-1)</f>
        <v>6938.66421185068</v>
      </c>
      <c r="G16" s="14">
        <f>'4Electric Bills'!W16*(1+'Model Assumptions'!$C$21)^(A16-1)</f>
        <v>54501.0988854354</v>
      </c>
      <c r="H16" s="14">
        <f t="shared" si="1"/>
        <v>139903.763536756</v>
      </c>
      <c r="I16" s="14">
        <f t="shared" si="0"/>
        <v>139903.763536756</v>
      </c>
      <c r="J16" s="14">
        <f t="shared" si="2"/>
        <v>1076301.3425702</v>
      </c>
      <c r="K16" s="22">
        <f>1/(1+'Model Assumptions'!$C$20)^A16</f>
        <v>0.556837418177559</v>
      </c>
      <c r="L16" s="14">
        <f t="shared" si="3"/>
        <v>77903.6504811309</v>
      </c>
      <c r="M16" s="14">
        <f t="shared" si="4"/>
        <v>629087.123512237</v>
      </c>
      <c r="N16" s="14">
        <f>'4Electric Bills'!K16*(1+'Model Assumptions'!$C$21)^A16</f>
        <v>408811.427440876</v>
      </c>
      <c r="O16" s="14">
        <f t="shared" si="5"/>
        <v>268907.66390412</v>
      </c>
      <c r="P16" s="14">
        <f t="shared" si="6"/>
        <v>4191389.89880341</v>
      </c>
      <c r="Q16" s="14">
        <f t="shared" si="7"/>
        <v>3797695.96673321</v>
      </c>
      <c r="R16" s="3"/>
      <c r="S16" s="3"/>
      <c r="T16" s="3"/>
      <c r="U16" s="3"/>
      <c r="V16" s="3"/>
      <c r="W16" s="3"/>
      <c r="X16" s="3"/>
      <c r="Y16" s="3"/>
      <c r="Z16" s="3"/>
    </row>
    <row r="17" spans="1:26">
      <c r="A17" s="20">
        <v>13</v>
      </c>
      <c r="B17" s="14">
        <v>0</v>
      </c>
      <c r="C17" s="14">
        <v>0</v>
      </c>
      <c r="D17" s="14">
        <f>'4Electric Bills'!V16*(1+'Model Assumptions'!$C$21)^(A17-1)*(1-'Model Assumptions'!$C$22)^(A17-1)</f>
        <v>74568.7301246386</v>
      </c>
      <c r="E17" s="14">
        <f>'4Electric Bills'!X16*(1+'Model Assumptions'!$C$21)^(A17-1)*(1-'Model Assumptions'!$C$22)^(A17-1)</f>
        <v>5602.64696439415</v>
      </c>
      <c r="F17" s="14">
        <f>'4Electric Bills'!Y16*(1+'Model Assumptions'!$C$21)^(A17-1)</f>
        <v>7146.8241382062</v>
      </c>
      <c r="G17" s="14">
        <f>'4Electric Bills'!W16*(1+'Model Assumptions'!$C$21)^(A17-1)</f>
        <v>56136.1318519985</v>
      </c>
      <c r="H17" s="14">
        <f t="shared" si="1"/>
        <v>143454.333079237</v>
      </c>
      <c r="I17" s="14">
        <f t="shared" si="0"/>
        <v>143454.333079237</v>
      </c>
      <c r="J17" s="14">
        <f t="shared" si="2"/>
        <v>1219755.67564944</v>
      </c>
      <c r="K17" s="22">
        <f>1/(1+'Model Assumptions'!$C$20)^A17</f>
        <v>0.530321350645295</v>
      </c>
      <c r="L17" s="14">
        <f t="shared" si="3"/>
        <v>76076.8956745012</v>
      </c>
      <c r="M17" s="14">
        <f t="shared" si="4"/>
        <v>705164.019186739</v>
      </c>
      <c r="N17" s="14">
        <f>'4Electric Bills'!K16*(1+'Model Assumptions'!$C$21)^A17</f>
        <v>421075.770264103</v>
      </c>
      <c r="O17" s="14">
        <f t="shared" si="5"/>
        <v>277621.437184866</v>
      </c>
      <c r="P17" s="14">
        <f t="shared" si="6"/>
        <v>4612465.66906752</v>
      </c>
      <c r="Q17" s="14">
        <f t="shared" si="7"/>
        <v>4075317.40391808</v>
      </c>
      <c r="R17" s="3"/>
      <c r="S17" s="3"/>
      <c r="T17" s="3"/>
      <c r="U17" s="3"/>
      <c r="V17" s="3"/>
      <c r="W17" s="3"/>
      <c r="X17" s="3"/>
      <c r="Y17" s="3"/>
      <c r="Z17" s="3"/>
    </row>
    <row r="18" spans="1:26">
      <c r="A18" s="20">
        <v>14</v>
      </c>
      <c r="B18" s="14">
        <v>0</v>
      </c>
      <c r="C18" s="14">
        <v>0</v>
      </c>
      <c r="D18" s="14">
        <f>'4Electric Bills'!V16*(1+'Model Assumptions'!$C$21)^(A18-1)*(1-'Model Assumptions'!$C$22)^(A18-1)</f>
        <v>76191.3456921508</v>
      </c>
      <c r="E18" s="14">
        <f>'4Electric Bills'!X16*(1+'Model Assumptions'!$C$21)^(A18-1)*(1-'Model Assumptions'!$C$22)^(A18-1)</f>
        <v>5724.56056233936</v>
      </c>
      <c r="F18" s="14">
        <f>'4Electric Bills'!Y16*(1+'Model Assumptions'!$C$21)^(A18-1)</f>
        <v>7361.22886235239</v>
      </c>
      <c r="G18" s="14">
        <f>'4Electric Bills'!W16*(1+'Model Assumptions'!$C$21)^(A18-1)</f>
        <v>57820.2158075584</v>
      </c>
      <c r="H18" s="14">
        <f t="shared" si="1"/>
        <v>147097.350924401</v>
      </c>
      <c r="I18" s="14">
        <f t="shared" si="0"/>
        <v>147097.350924401</v>
      </c>
      <c r="J18" s="14">
        <f t="shared" si="2"/>
        <v>1366853.02657384</v>
      </c>
      <c r="K18" s="22">
        <f>1/(1+'Model Assumptions'!$C$20)^A18</f>
        <v>0.505067952995519</v>
      </c>
      <c r="L18" s="14">
        <f t="shared" si="3"/>
        <v>74294.1579224507</v>
      </c>
      <c r="M18" s="14">
        <f t="shared" si="4"/>
        <v>779458.177109189</v>
      </c>
      <c r="N18" s="14">
        <f>'4Electric Bills'!K16*(1+'Model Assumptions'!$C$21)^A18</f>
        <v>433708.043372026</v>
      </c>
      <c r="O18" s="14">
        <f t="shared" si="5"/>
        <v>286610.692447625</v>
      </c>
      <c r="P18" s="14">
        <f t="shared" si="6"/>
        <v>5046173.71243954</v>
      </c>
      <c r="Q18" s="14">
        <f t="shared" si="7"/>
        <v>4361928.0963657</v>
      </c>
      <c r="R18" s="3"/>
      <c r="S18" s="3"/>
      <c r="T18" s="3"/>
      <c r="U18" s="3"/>
      <c r="V18" s="3"/>
      <c r="W18" s="3"/>
      <c r="X18" s="3"/>
      <c r="Y18" s="3"/>
      <c r="Z18" s="3"/>
    </row>
    <row r="19" spans="1:26">
      <c r="A19" s="20">
        <v>15</v>
      </c>
      <c r="B19" s="14">
        <v>0</v>
      </c>
      <c r="C19" s="14">
        <v>0</v>
      </c>
      <c r="D19" s="14">
        <f>'4Electric Bills'!V16*(1+'Model Assumptions'!$C$21)^(A19-1)*(1-'Model Assumptions'!$C$22)^(A19-1)</f>
        <v>77849.269374412</v>
      </c>
      <c r="E19" s="14">
        <f>'4Electric Bills'!X16*(1+'Model Assumptions'!$C$21)^(A19-1)*(1-'Model Assumptions'!$C$22)^(A19-1)</f>
        <v>5849.12700017587</v>
      </c>
      <c r="F19" s="14">
        <f>'4Electric Bills'!Y16*(1+'Model Assumptions'!$C$21)^(A19-1)</f>
        <v>7582.06572822296</v>
      </c>
      <c r="G19" s="14">
        <f>'4Electric Bills'!W16*(1+'Model Assumptions'!$C$21)^(A19-1)</f>
        <v>59554.8222817852</v>
      </c>
      <c r="H19" s="14">
        <f t="shared" si="1"/>
        <v>150835.284384596</v>
      </c>
      <c r="I19" s="14">
        <f t="shared" si="0"/>
        <v>150835.284384596</v>
      </c>
      <c r="J19" s="14">
        <f t="shared" si="2"/>
        <v>1517688.31095844</v>
      </c>
      <c r="K19" s="22">
        <f>1/(1+'Model Assumptions'!$C$20)^A19</f>
        <v>0.48101709809097</v>
      </c>
      <c r="L19" s="14">
        <f t="shared" si="3"/>
        <v>72554.3507844046</v>
      </c>
      <c r="M19" s="14">
        <f t="shared" si="4"/>
        <v>852012.527893594</v>
      </c>
      <c r="N19" s="14">
        <f>'4Electric Bills'!K16*(1+'Model Assumptions'!$C$21)^A19</f>
        <v>446719.284673186</v>
      </c>
      <c r="O19" s="14">
        <f t="shared" si="5"/>
        <v>295884.00028859</v>
      </c>
      <c r="P19" s="14">
        <f t="shared" si="6"/>
        <v>5492892.99711273</v>
      </c>
      <c r="Q19" s="14">
        <f t="shared" si="7"/>
        <v>4657812.09665429</v>
      </c>
      <c r="R19" s="3"/>
      <c r="S19" s="3"/>
      <c r="T19" s="3"/>
      <c r="U19" s="3"/>
      <c r="V19" s="3"/>
      <c r="W19" s="3"/>
      <c r="X19" s="3"/>
      <c r="Y19" s="3"/>
      <c r="Z19" s="3"/>
    </row>
    <row r="20" spans="1:26">
      <c r="A20" s="20">
        <v>16</v>
      </c>
      <c r="B20" s="14">
        <v>0</v>
      </c>
      <c r="C20" s="14">
        <v>0</v>
      </c>
      <c r="D20" s="14">
        <f>'4Electric Bills'!V16*(1+'Model Assumptions'!$C$21)^(A20-1)*(1-'Model Assumptions'!$C$22)^(A20-1)</f>
        <v>79543.2694759992</v>
      </c>
      <c r="E20" s="14">
        <f>'4Electric Bills'!X16*(1+'Model Assumptions'!$C$21)^(A20-1)*(1-'Model Assumptions'!$C$22)^(A20-1)</f>
        <v>5976.4040036997</v>
      </c>
      <c r="F20" s="14">
        <f>'4Electric Bills'!Y16*(1+'Model Assumptions'!$C$21)^(A20-1)</f>
        <v>7809.52770006965</v>
      </c>
      <c r="G20" s="14">
        <f>'4Electric Bills'!W16*(1+'Model Assumptions'!$C$21)^(A20-1)</f>
        <v>61341.4669502388</v>
      </c>
      <c r="H20" s="14">
        <f t="shared" si="1"/>
        <v>154670.668130007</v>
      </c>
      <c r="I20" s="14">
        <f t="shared" si="0"/>
        <v>154670.668130007</v>
      </c>
      <c r="J20" s="14">
        <f t="shared" si="2"/>
        <v>1672358.97908844</v>
      </c>
      <c r="K20" s="22">
        <f>1/(1+'Model Assumptions'!$C$20)^A20</f>
        <v>0.4581115219914</v>
      </c>
      <c r="L20" s="14">
        <f t="shared" si="3"/>
        <v>70856.4151844644</v>
      </c>
      <c r="M20" s="14">
        <f t="shared" si="4"/>
        <v>922868.943078058</v>
      </c>
      <c r="N20" s="14">
        <f>'4Electric Bills'!K16*(1+'Model Assumptions'!$C$21)^A20</f>
        <v>460120.863213382</v>
      </c>
      <c r="O20" s="14">
        <f t="shared" si="5"/>
        <v>305450.195083375</v>
      </c>
      <c r="P20" s="14">
        <f t="shared" si="6"/>
        <v>5953013.86032611</v>
      </c>
      <c r="Q20" s="14">
        <f t="shared" si="7"/>
        <v>4963262.29173767</v>
      </c>
      <c r="R20" s="3"/>
      <c r="S20" s="3"/>
      <c r="T20" s="3"/>
      <c r="U20" s="3"/>
      <c r="V20" s="3"/>
      <c r="W20" s="3"/>
      <c r="X20" s="3"/>
      <c r="Y20" s="3"/>
      <c r="Z20" s="3"/>
    </row>
    <row r="21" spans="1:26">
      <c r="A21" s="20">
        <v>17</v>
      </c>
      <c r="B21" s="14">
        <v>0</v>
      </c>
      <c r="C21" s="14">
        <v>0</v>
      </c>
      <c r="D21" s="14">
        <f>'4Electric Bills'!V16*(1+'Model Assumptions'!$C$21)^(A21-1)*(1-'Model Assumptions'!$C$22)^(A21-1)</f>
        <v>81274.1310197969</v>
      </c>
      <c r="E21" s="14">
        <f>'4Electric Bills'!X16*(1+'Model Assumptions'!$C$21)^(A21-1)*(1-'Model Assumptions'!$C$22)^(A21-1)</f>
        <v>6106.4505548202</v>
      </c>
      <c r="F21" s="14">
        <f>'4Electric Bills'!Y16*(1+'Model Assumptions'!$C$21)^(A21-1)</f>
        <v>8043.81353107174</v>
      </c>
      <c r="G21" s="14">
        <f>'4Electric Bills'!W16*(1+'Model Assumptions'!$C$21)^(A21-1)</f>
        <v>63181.7109587459</v>
      </c>
      <c r="H21" s="14">
        <f t="shared" si="1"/>
        <v>158606.106064435</v>
      </c>
      <c r="I21" s="14">
        <f t="shared" si="0"/>
        <v>158606.106064435</v>
      </c>
      <c r="J21" s="14">
        <f t="shared" si="2"/>
        <v>1830965.08515288</v>
      </c>
      <c r="K21" s="22">
        <f>1/(1+'Model Assumptions'!$C$20)^A21</f>
        <v>0.436296687610857</v>
      </c>
      <c r="L21" s="14">
        <f t="shared" si="3"/>
        <v>69199.3187107691</v>
      </c>
      <c r="M21" s="14">
        <f t="shared" si="4"/>
        <v>992068.261788827</v>
      </c>
      <c r="N21" s="14">
        <f>'4Electric Bills'!K16*(1+'Model Assumptions'!$C$21)^A21</f>
        <v>473924.489109783</v>
      </c>
      <c r="O21" s="14">
        <f t="shared" si="5"/>
        <v>315318.383045348</v>
      </c>
      <c r="P21" s="14">
        <f t="shared" si="6"/>
        <v>6426938.34943589</v>
      </c>
      <c r="Q21" s="14">
        <f t="shared" si="7"/>
        <v>5278580.67478302</v>
      </c>
      <c r="R21" s="3"/>
      <c r="S21" s="3"/>
      <c r="T21" s="3"/>
      <c r="U21" s="3"/>
      <c r="V21" s="3"/>
      <c r="W21" s="3"/>
      <c r="X21" s="3"/>
      <c r="Y21" s="3"/>
      <c r="Z21" s="3"/>
    </row>
    <row r="22" spans="1:26">
      <c r="A22" s="20">
        <v>18</v>
      </c>
      <c r="B22" s="14">
        <v>0</v>
      </c>
      <c r="C22" s="14">
        <v>0</v>
      </c>
      <c r="D22" s="14">
        <f>'4Electric Bills'!V16*(1+'Model Assumptions'!$C$21)^(A22-1)*(1-'Model Assumptions'!$C$22)^(A22-1)</f>
        <v>83042.6561107877</v>
      </c>
      <c r="E22" s="14">
        <f>'4Electric Bills'!X16*(1+'Model Assumptions'!$C$21)^(A22-1)*(1-'Model Assumptions'!$C$22)^(A22-1)</f>
        <v>6239.32691889309</v>
      </c>
      <c r="F22" s="14">
        <f>'4Electric Bills'!Y16*(1+'Model Assumptions'!$C$21)^(A22-1)</f>
        <v>8285.12793700389</v>
      </c>
      <c r="G22" s="14">
        <f>'4Electric Bills'!W16*(1+'Model Assumptions'!$C$21)^(A22-1)</f>
        <v>65077.1622875083</v>
      </c>
      <c r="H22" s="14">
        <f t="shared" si="1"/>
        <v>162644.273254193</v>
      </c>
      <c r="I22" s="14">
        <f t="shared" si="0"/>
        <v>162644.273254193</v>
      </c>
      <c r="J22" s="14">
        <f t="shared" si="2"/>
        <v>1993609.35840707</v>
      </c>
      <c r="K22" s="22">
        <f>1/(1+'Model Assumptions'!$C$20)^A22</f>
        <v>0.415520654867483</v>
      </c>
      <c r="L22" s="14">
        <f t="shared" si="3"/>
        <v>67582.0549330281</v>
      </c>
      <c r="M22" s="14">
        <f t="shared" si="4"/>
        <v>1059650.31672186</v>
      </c>
      <c r="N22" s="14">
        <f>'4Electric Bills'!K16*(1+'Model Assumptions'!$C$21)^A22</f>
        <v>488142.223783077</v>
      </c>
      <c r="O22" s="14">
        <f t="shared" si="5"/>
        <v>325497.950528884</v>
      </c>
      <c r="P22" s="14">
        <f t="shared" si="6"/>
        <v>6915080.57321897</v>
      </c>
      <c r="Q22" s="14">
        <f t="shared" si="7"/>
        <v>5604078.6253119</v>
      </c>
      <c r="R22" s="3"/>
      <c r="S22" s="3"/>
      <c r="T22" s="3"/>
      <c r="U22" s="3"/>
      <c r="V22" s="3"/>
      <c r="W22" s="3"/>
      <c r="X22" s="3"/>
      <c r="Y22" s="3"/>
      <c r="Z22" s="3"/>
    </row>
    <row r="23" spans="1:26">
      <c r="A23" s="20">
        <v>19</v>
      </c>
      <c r="B23" s="14">
        <v>0</v>
      </c>
      <c r="C23" s="14">
        <v>0</v>
      </c>
      <c r="D23" s="14">
        <f>'4Electric Bills'!V16*(1+'Model Assumptions'!$C$21)^(A23-1)*(1-'Model Assumptions'!$C$22)^(A23-1)</f>
        <v>84849.6643077585</v>
      </c>
      <c r="E23" s="14">
        <f>'4Electric Bills'!X16*(1+'Model Assumptions'!$C$21)^(A23-1)*(1-'Model Assumptions'!$C$22)^(A23-1)</f>
        <v>6375.0946726482</v>
      </c>
      <c r="F23" s="14">
        <f>'4Electric Bills'!Y16*(1+'Model Assumptions'!$C$21)^(A23-1)</f>
        <v>8533.68177511401</v>
      </c>
      <c r="G23" s="14">
        <f>'4Electric Bills'!W16*(1+'Model Assumptions'!$C$21)^(A23-1)</f>
        <v>67029.4771561336</v>
      </c>
      <c r="H23" s="14">
        <f t="shared" si="1"/>
        <v>166787.917911654</v>
      </c>
      <c r="I23" s="14">
        <f t="shared" si="0"/>
        <v>166787.917911654</v>
      </c>
      <c r="J23" s="14">
        <f t="shared" si="2"/>
        <v>2160397.27631872</v>
      </c>
      <c r="K23" s="22">
        <f>1/(1+'Model Assumptions'!$C$20)^A23</f>
        <v>0.39573395701665</v>
      </c>
      <c r="L23" s="14">
        <f t="shared" si="3"/>
        <v>66003.6427377471</v>
      </c>
      <c r="M23" s="14">
        <f t="shared" si="4"/>
        <v>1125653.9594596</v>
      </c>
      <c r="N23" s="14">
        <f>'4Electric Bills'!K16*(1+'Model Assumptions'!$C$21)^A23</f>
        <v>502786.490496569</v>
      </c>
      <c r="O23" s="14">
        <f t="shared" si="5"/>
        <v>335998.572584915</v>
      </c>
      <c r="P23" s="14">
        <f t="shared" si="6"/>
        <v>7417867.06371554</v>
      </c>
      <c r="Q23" s="14">
        <f t="shared" si="7"/>
        <v>5940077.19789682</v>
      </c>
      <c r="R23" s="3"/>
      <c r="S23" s="3"/>
      <c r="T23" s="3"/>
      <c r="U23" s="3"/>
      <c r="V23" s="3"/>
      <c r="W23" s="3"/>
      <c r="X23" s="3"/>
      <c r="Y23" s="3"/>
      <c r="Z23" s="3"/>
    </row>
    <row r="24" spans="1:26">
      <c r="A24" s="20">
        <v>20</v>
      </c>
      <c r="B24" s="14">
        <v>0</v>
      </c>
      <c r="C24" s="14">
        <v>0</v>
      </c>
      <c r="D24" s="14">
        <f>'4Electric Bills'!V16*(1+'Model Assumptions'!$C$21)^(A24-1)*(1-'Model Assumptions'!$C$22)^(A24-1)</f>
        <v>86695.9930030953</v>
      </c>
      <c r="E24" s="14">
        <f>'4Electric Bills'!X16*(1+'Model Assumptions'!$C$21)^(A24-1)*(1-'Model Assumptions'!$C$22)^(A24-1)</f>
        <v>6513.81673272503</v>
      </c>
      <c r="F24" s="14">
        <f>'4Electric Bills'!Y16*(1+'Model Assumptions'!$C$21)^(A24-1)</f>
        <v>8789.69222836743</v>
      </c>
      <c r="G24" s="14">
        <f>'4Electric Bills'!W16*(1+'Model Assumptions'!$C$21)^(A24-1)</f>
        <v>69040.3614708176</v>
      </c>
      <c r="H24" s="14">
        <f t="shared" si="1"/>
        <v>171039.863435005</v>
      </c>
      <c r="I24" s="14">
        <f t="shared" si="0"/>
        <v>171039.863435005</v>
      </c>
      <c r="J24" s="14">
        <f t="shared" si="2"/>
        <v>2331437.13975373</v>
      </c>
      <c r="K24" s="22">
        <f>1/(1+'Model Assumptions'!$C$20)^A24</f>
        <v>0.376889482873</v>
      </c>
      <c r="L24" s="14">
        <f t="shared" si="3"/>
        <v>64463.1256806877</v>
      </c>
      <c r="M24" s="14">
        <f t="shared" si="4"/>
        <v>1190117.08514029</v>
      </c>
      <c r="N24" s="14">
        <f>'4Electric Bills'!K16*(1+'Model Assumptions'!$C$21)^A24</f>
        <v>517870.085211466</v>
      </c>
      <c r="O24" s="14">
        <f t="shared" si="5"/>
        <v>346830.221776461</v>
      </c>
      <c r="P24" s="14">
        <f t="shared" si="6"/>
        <v>7935737.14892701</v>
      </c>
      <c r="Q24" s="14">
        <f t="shared" si="7"/>
        <v>6286907.41967328</v>
      </c>
      <c r="R24" s="3"/>
      <c r="S24" s="3"/>
      <c r="T24" s="3"/>
      <c r="U24" s="3"/>
      <c r="V24" s="3"/>
      <c r="W24" s="3"/>
      <c r="X24" s="3"/>
      <c r="Y24" s="3"/>
      <c r="Z24" s="3"/>
    </row>
    <row r="25" spans="1:26">
      <c r="A25" s="20">
        <v>21</v>
      </c>
      <c r="B25" s="14">
        <v>0</v>
      </c>
      <c r="C25" s="14">
        <v>0</v>
      </c>
      <c r="D25" s="14">
        <f>'4Electric Bills'!V16*(1+'Model Assumptions'!$C$21)^(A25-1)*(1-'Model Assumptions'!$C$22)^(A25-1)</f>
        <v>88582.4978108426</v>
      </c>
      <c r="E25" s="14">
        <f>'4Electric Bills'!X16*(1+'Model Assumptions'!$C$21)^(A25-1)*(1-'Model Assumptions'!$C$22)^(A25-1)</f>
        <v>6655.55738482913</v>
      </c>
      <c r="F25" s="14">
        <f>'4Electric Bills'!Y16*(1+'Model Assumptions'!$C$21)^(A25-1)</f>
        <v>9053.38299521845</v>
      </c>
      <c r="G25" s="14">
        <f>'4Electric Bills'!W16*(1+'Model Assumptions'!$C$21)^(A25-1)</f>
        <v>71111.5723149421</v>
      </c>
      <c r="H25" s="14">
        <f t="shared" si="1"/>
        <v>175403.010505832</v>
      </c>
      <c r="I25" s="14">
        <f t="shared" si="0"/>
        <v>175403.010505832</v>
      </c>
      <c r="J25" s="14">
        <f t="shared" si="2"/>
        <v>2506840.15025956</v>
      </c>
      <c r="K25" s="22">
        <f>1/(1+'Model Assumptions'!$C$20)^A25</f>
        <v>0.358942364640953</v>
      </c>
      <c r="L25" s="14">
        <f t="shared" si="3"/>
        <v>62959.5713561054</v>
      </c>
      <c r="M25" s="14">
        <f t="shared" si="4"/>
        <v>1253076.6564964</v>
      </c>
      <c r="N25" s="14">
        <f>'4Electric Bills'!K16*(1+'Model Assumptions'!$C$21)^A25</f>
        <v>533406.18776781</v>
      </c>
      <c r="O25" s="14">
        <f t="shared" si="5"/>
        <v>358003.177261978</v>
      </c>
      <c r="P25" s="14">
        <f t="shared" si="6"/>
        <v>8469143.33669482</v>
      </c>
      <c r="Q25" s="14">
        <f t="shared" si="7"/>
        <v>6644910.59693525</v>
      </c>
      <c r="R25" s="3"/>
      <c r="S25" s="3"/>
      <c r="T25" s="3"/>
      <c r="U25" s="3"/>
      <c r="V25" s="3"/>
      <c r="W25" s="3"/>
      <c r="X25" s="3"/>
      <c r="Y25" s="3"/>
      <c r="Z25" s="3"/>
    </row>
    <row r="26" spans="1:26">
      <c r="A26" s="20">
        <v>22</v>
      </c>
      <c r="B26" s="14">
        <v>0</v>
      </c>
      <c r="C26" s="14">
        <v>0</v>
      </c>
      <c r="D26" s="14">
        <f>'4Electric Bills'!V16*(1+'Model Assumptions'!$C$21)^(A26-1)*(1-'Model Assumptions'!$C$22)^(A26-1)</f>
        <v>90510.0529632066</v>
      </c>
      <c r="E26" s="14">
        <f>'4Electric Bills'!X16*(1+'Model Assumptions'!$C$21)^(A26-1)*(1-'Model Assumptions'!$C$22)^(A26-1)</f>
        <v>6800.38231352301</v>
      </c>
      <c r="F26" s="14">
        <f>'4Electric Bills'!Y16*(1+'Model Assumptions'!$C$21)^(A26-1)</f>
        <v>9324.98448507501</v>
      </c>
      <c r="G26" s="14">
        <f>'4Electric Bills'!W16*(1+'Model Assumptions'!$C$21)^(A26-1)</f>
        <v>73244.9194843904</v>
      </c>
      <c r="H26" s="14">
        <f t="shared" si="1"/>
        <v>179880.339246195</v>
      </c>
      <c r="I26" s="14">
        <f t="shared" si="0"/>
        <v>179880.339246195</v>
      </c>
      <c r="J26" s="14">
        <f t="shared" si="2"/>
        <v>2686720.48950576</v>
      </c>
      <c r="K26" s="22">
        <f>1/(1+'Model Assumptions'!$C$20)^A26</f>
        <v>0.341849871086622</v>
      </c>
      <c r="L26" s="14">
        <f t="shared" si="3"/>
        <v>61492.0707823296</v>
      </c>
      <c r="M26" s="14">
        <f t="shared" si="4"/>
        <v>1314568.72727873</v>
      </c>
      <c r="N26" s="14">
        <f>'4Electric Bills'!K16*(1+'Model Assumptions'!$C$21)^A26</f>
        <v>549408.373400845</v>
      </c>
      <c r="O26" s="14">
        <f t="shared" si="5"/>
        <v>369528.03415465</v>
      </c>
      <c r="P26" s="14">
        <f t="shared" si="6"/>
        <v>9018551.71009566</v>
      </c>
      <c r="Q26" s="14">
        <f t="shared" si="7"/>
        <v>7014438.6310899</v>
      </c>
      <c r="R26" s="3"/>
      <c r="S26" s="3"/>
      <c r="T26" s="3"/>
      <c r="U26" s="3"/>
      <c r="V26" s="3"/>
      <c r="W26" s="3"/>
      <c r="X26" s="3"/>
      <c r="Y26" s="3"/>
      <c r="Z26" s="3"/>
    </row>
    <row r="27" spans="1:26">
      <c r="A27" s="20">
        <v>23</v>
      </c>
      <c r="B27" s="14">
        <v>0</v>
      </c>
      <c r="C27" s="14">
        <v>0</v>
      </c>
      <c r="D27" s="14">
        <f>'4Electric Bills'!V16*(1+'Model Assumptions'!$C$21)^(A27-1)*(1-'Model Assumptions'!$C$22)^(A27-1)</f>
        <v>92479.551715686</v>
      </c>
      <c r="E27" s="14">
        <f>'4Electric Bills'!X16*(1+'Model Assumptions'!$C$21)^(A27-1)*(1-'Model Assumptions'!$C$22)^(A27-1)</f>
        <v>6948.35863266527</v>
      </c>
      <c r="F27" s="14">
        <f>'4Electric Bills'!Y16*(1+'Model Assumptions'!$C$21)^(A27-1)</f>
        <v>9604.73401962726</v>
      </c>
      <c r="G27" s="14">
        <f>'4Electric Bills'!W16*(1+'Model Assumptions'!$C$21)^(A27-1)</f>
        <v>75442.2670689221</v>
      </c>
      <c r="H27" s="14">
        <f t="shared" si="1"/>
        <v>184474.911436901</v>
      </c>
      <c r="I27" s="14">
        <f t="shared" si="0"/>
        <v>184474.911436901</v>
      </c>
      <c r="J27" s="14">
        <f t="shared" si="2"/>
        <v>2871195.40094266</v>
      </c>
      <c r="K27" s="22">
        <f>1/(1+'Model Assumptions'!$C$20)^A27</f>
        <v>0.325571305796783</v>
      </c>
      <c r="L27" s="14">
        <f t="shared" si="3"/>
        <v>60059.7378032576</v>
      </c>
      <c r="M27" s="14">
        <f t="shared" si="4"/>
        <v>1374628.46508198</v>
      </c>
      <c r="N27" s="14">
        <f>'4Electric Bills'!K16*(1+'Model Assumptions'!$C$21)^A27</f>
        <v>565890.62460287</v>
      </c>
      <c r="O27" s="14">
        <f t="shared" si="5"/>
        <v>381415.713165969</v>
      </c>
      <c r="P27" s="14">
        <f t="shared" si="6"/>
        <v>9584442.33469853</v>
      </c>
      <c r="Q27" s="14">
        <f t="shared" si="7"/>
        <v>7395854.34425587</v>
      </c>
      <c r="R27" s="3"/>
      <c r="S27" s="3"/>
      <c r="T27" s="3"/>
      <c r="U27" s="3"/>
      <c r="V27" s="3"/>
      <c r="W27" s="3"/>
      <c r="X27" s="3"/>
      <c r="Y27" s="3"/>
      <c r="Z27" s="3"/>
    </row>
    <row r="28" spans="1:26">
      <c r="A28" s="20">
        <v>24</v>
      </c>
      <c r="B28" s="14">
        <v>0</v>
      </c>
      <c r="C28" s="14">
        <v>0</v>
      </c>
      <c r="D28" s="14">
        <f>'4Electric Bills'!V16*(1+'Model Assumptions'!$C$21)^(A28-1)*(1-'Model Assumptions'!$C$22)^(A28-1)</f>
        <v>94491.9067610193</v>
      </c>
      <c r="E28" s="14">
        <f>'4Electric Bills'!X16*(1+'Model Assumptions'!$C$21)^(A28-1)*(1-'Model Assumptions'!$C$22)^(A28-1)</f>
        <v>7099.55491651207</v>
      </c>
      <c r="F28" s="14">
        <f>'4Electric Bills'!Y16*(1+'Model Assumptions'!$C$21)^(A28-1)</f>
        <v>9892.87604021608</v>
      </c>
      <c r="G28" s="14">
        <f>'4Electric Bills'!W16*(1+'Model Assumptions'!$C$21)^(A28-1)</f>
        <v>77705.5350809897</v>
      </c>
      <c r="H28" s="14">
        <f t="shared" si="1"/>
        <v>189189.872798737</v>
      </c>
      <c r="I28" s="14">
        <f t="shared" si="0"/>
        <v>189189.872798737</v>
      </c>
      <c r="J28" s="14">
        <f t="shared" si="2"/>
        <v>3060385.27374139</v>
      </c>
      <c r="K28" s="22">
        <f>1/(1+'Model Assumptions'!$C$20)^A28</f>
        <v>0.31006791028265</v>
      </c>
      <c r="L28" s="14">
        <f t="shared" si="3"/>
        <v>58661.7085053448</v>
      </c>
      <c r="M28" s="14">
        <f t="shared" si="4"/>
        <v>1433290.17358733</v>
      </c>
      <c r="N28" s="14">
        <f>'4Electric Bills'!K16*(1+'Model Assumptions'!$C$21)^A28</f>
        <v>582867.343340956</v>
      </c>
      <c r="O28" s="14">
        <f t="shared" si="5"/>
        <v>393677.470542219</v>
      </c>
      <c r="P28" s="14">
        <f t="shared" si="6"/>
        <v>10167309.6780395</v>
      </c>
      <c r="Q28" s="14">
        <f t="shared" si="7"/>
        <v>7789531.81479809</v>
      </c>
      <c r="R28" s="3"/>
      <c r="S28" s="3"/>
      <c r="T28" s="3"/>
      <c r="U28" s="3"/>
      <c r="V28" s="3"/>
      <c r="W28" s="3"/>
      <c r="X28" s="3"/>
      <c r="Y28" s="3"/>
      <c r="Z28" s="3"/>
    </row>
    <row r="29" spans="1:26">
      <c r="A29" s="20">
        <v>25</v>
      </c>
      <c r="B29" s="14">
        <v>0</v>
      </c>
      <c r="C29" s="14">
        <v>0</v>
      </c>
      <c r="D29" s="14">
        <f>'4Electric Bills'!V16*(1+'Model Assumptions'!$C$21)^(A29-1)*(1-'Model Assumptions'!$C$22)^(A29-1)</f>
        <v>96548.0506521391</v>
      </c>
      <c r="E29" s="14">
        <f>'4Electric Bills'!X16*(1+'Model Assumptions'!$C$21)^(A29-1)*(1-'Model Assumptions'!$C$22)^(A29-1)</f>
        <v>7254.04123149537</v>
      </c>
      <c r="F29" s="14">
        <f>'4Electric Bills'!Y16*(1+'Model Assumptions'!$C$21)^(A29-1)</f>
        <v>10189.6623214226</v>
      </c>
      <c r="G29" s="14">
        <f>'4Electric Bills'!W16*(1+'Model Assumptions'!$C$21)^(A29-1)</f>
        <v>80036.7011334194</v>
      </c>
      <c r="H29" s="14">
        <f t="shared" si="1"/>
        <v>194028.455338476</v>
      </c>
      <c r="I29" s="14">
        <f t="shared" si="0"/>
        <v>194028.455338476</v>
      </c>
      <c r="J29" s="14">
        <f t="shared" si="2"/>
        <v>3254413.72907987</v>
      </c>
      <c r="K29" s="22">
        <f>1/(1+'Model Assumptions'!$C$20)^A29</f>
        <v>0.295302771697762</v>
      </c>
      <c r="L29" s="14">
        <f t="shared" si="3"/>
        <v>57297.1406496875</v>
      </c>
      <c r="M29" s="14">
        <f t="shared" si="4"/>
        <v>1490587.31423702</v>
      </c>
      <c r="N29" s="14">
        <f>'4Electric Bills'!K16*(1+'Model Assumptions'!$C$21)^A29</f>
        <v>600353.363641185</v>
      </c>
      <c r="O29" s="14">
        <f t="shared" si="5"/>
        <v>406324.908302709</v>
      </c>
      <c r="P29" s="14">
        <f t="shared" si="6"/>
        <v>10767663.0416807</v>
      </c>
      <c r="Q29" s="14">
        <f t="shared" si="7"/>
        <v>8195856.7231008</v>
      </c>
      <c r="R29" s="3"/>
      <c r="S29" s="3"/>
      <c r="T29" s="3"/>
      <c r="U29" s="3"/>
      <c r="V29" s="3"/>
      <c r="W29" s="3"/>
      <c r="X29" s="3"/>
      <c r="Y29" s="3"/>
      <c r="Z29" s="3"/>
    </row>
    <row r="30" spans="1:26">
      <c r="A30" s="20">
        <v>26</v>
      </c>
      <c r="B30" s="14">
        <v>0</v>
      </c>
      <c r="C30" s="14">
        <v>0</v>
      </c>
      <c r="D30" s="14">
        <f>'4Electric Bills'!V16*(1+'Model Assumptions'!$C$21)^(A30-1)*(1-'Model Assumptions'!$C$22)^(A30-1)</f>
        <v>98648.9362343296</v>
      </c>
      <c r="E30" s="14">
        <f>'4Electric Bills'!X16*(1+'Model Assumptions'!$C$21)^(A30-1)*(1-'Model Assumptions'!$C$22)^(A30-1)</f>
        <v>7411.88916869271</v>
      </c>
      <c r="F30" s="14">
        <f>'4Electric Bills'!Y16*(1+'Model Assumptions'!$C$21)^(A30-1)</f>
        <v>10495.3521910652</v>
      </c>
      <c r="G30" s="14">
        <f>'4Electric Bills'!W16*(1+'Model Assumptions'!$C$21)^(A30-1)</f>
        <v>82437.802167422</v>
      </c>
      <c r="H30" s="14">
        <f t="shared" si="1"/>
        <v>198993.97976151</v>
      </c>
      <c r="I30" s="14">
        <f t="shared" si="0"/>
        <v>198993.97976151</v>
      </c>
      <c r="J30" s="14">
        <f t="shared" si="2"/>
        <v>3453407.70884138</v>
      </c>
      <c r="K30" s="22">
        <f>1/(1+'Model Assumptions'!$C$20)^A30</f>
        <v>0.281240734950249</v>
      </c>
      <c r="L30" s="14">
        <f t="shared" si="3"/>
        <v>55965.2131188019</v>
      </c>
      <c r="M30" s="14">
        <f t="shared" si="4"/>
        <v>1546552.52735582</v>
      </c>
      <c r="N30" s="14">
        <f>'4Electric Bills'!K16*(1+'Model Assumptions'!$C$21)^A30</f>
        <v>618363.964550421</v>
      </c>
      <c r="O30" s="14">
        <f t="shared" si="5"/>
        <v>419369.984788911</v>
      </c>
      <c r="P30" s="14">
        <f t="shared" si="6"/>
        <v>11386027.0062311</v>
      </c>
      <c r="Q30" s="14">
        <f t="shared" si="7"/>
        <v>8615226.70788971</v>
      </c>
      <c r="R30" s="3"/>
      <c r="S30" s="3"/>
      <c r="T30" s="3"/>
      <c r="U30" s="3"/>
      <c r="V30" s="3"/>
      <c r="W30" s="3"/>
      <c r="X30" s="3"/>
      <c r="Y30" s="3"/>
      <c r="Z30" s="3"/>
    </row>
    <row r="31" spans="1:26">
      <c r="A31" s="20">
        <v>27</v>
      </c>
      <c r="B31" s="14">
        <v>0</v>
      </c>
      <c r="C31" s="14">
        <v>0</v>
      </c>
      <c r="D31" s="14">
        <f>'4Electric Bills'!V16*(1+'Model Assumptions'!$C$21)^(A31-1)*(1-'Model Assumptions'!$C$22)^(A31-1)</f>
        <v>100795.537086789</v>
      </c>
      <c r="E31" s="14">
        <f>'4Electric Bills'!X16*(1+'Model Assumptions'!$C$21)^(A31-1)*(1-'Model Assumptions'!$C$22)^(A31-1)</f>
        <v>7573.17187700346</v>
      </c>
      <c r="F31" s="14">
        <f>'4Electric Bills'!Y16*(1+'Model Assumptions'!$C$21)^(A31-1)</f>
        <v>10810.2127567972</v>
      </c>
      <c r="G31" s="14">
        <f>'4Electric Bills'!W16*(1+'Model Assumptions'!$C$21)^(A31-1)</f>
        <v>84910.9362324447</v>
      </c>
      <c r="H31" s="14">
        <f t="shared" si="1"/>
        <v>204089.857953034</v>
      </c>
      <c r="I31" s="14">
        <f t="shared" si="0"/>
        <v>204089.857953034</v>
      </c>
      <c r="J31" s="14">
        <f t="shared" si="2"/>
        <v>3657497.56679441</v>
      </c>
      <c r="K31" s="22">
        <f>1/(1+'Model Assumptions'!$C$20)^A31</f>
        <v>0.267848319000238</v>
      </c>
      <c r="L31" s="14">
        <f t="shared" si="3"/>
        <v>54665.1253777175</v>
      </c>
      <c r="M31" s="14">
        <f t="shared" si="4"/>
        <v>1601217.65273353</v>
      </c>
      <c r="N31" s="14">
        <f>'4Electric Bills'!K16*(1+'Model Assumptions'!$C$21)^A31</f>
        <v>636914.883486933</v>
      </c>
      <c r="O31" s="14">
        <f t="shared" si="5"/>
        <v>432825.025533899</v>
      </c>
      <c r="P31" s="14">
        <f t="shared" si="6"/>
        <v>12022941.889718</v>
      </c>
      <c r="Q31" s="14">
        <f t="shared" si="7"/>
        <v>9048051.73342361</v>
      </c>
      <c r="R31" s="3"/>
      <c r="S31" s="3"/>
      <c r="T31" s="3"/>
      <c r="U31" s="3"/>
      <c r="V31" s="3"/>
      <c r="W31" s="3"/>
      <c r="X31" s="3"/>
      <c r="Y31" s="3"/>
      <c r="Z31" s="3"/>
    </row>
    <row r="32" spans="1:26">
      <c r="A32" s="20">
        <v>28</v>
      </c>
      <c r="B32" s="14">
        <v>0</v>
      </c>
      <c r="C32" s="14">
        <v>0</v>
      </c>
      <c r="D32" s="14">
        <f>'4Electric Bills'!V16*(1+'Model Assumptions'!$C$21)^(A32-1)*(1-'Model Assumptions'!$C$22)^(A32-1)</f>
        <v>102988.847973797</v>
      </c>
      <c r="E32" s="14">
        <f>'4Electric Bills'!X16*(1+'Model Assumptions'!$C$21)^(A32-1)*(1-'Model Assumptions'!$C$22)^(A32-1)</f>
        <v>7737.96409704706</v>
      </c>
      <c r="F32" s="14">
        <f>'4Electric Bills'!Y16*(1+'Model Assumptions'!$C$21)^(A32-1)</f>
        <v>11134.5191395011</v>
      </c>
      <c r="G32" s="14">
        <f>'4Electric Bills'!W16*(1+'Model Assumptions'!$C$21)^(A32-1)</f>
        <v>87458.264319418</v>
      </c>
      <c r="H32" s="14">
        <f t="shared" si="1"/>
        <v>209319.595529763</v>
      </c>
      <c r="I32" s="14">
        <f t="shared" si="0"/>
        <v>209319.595529763</v>
      </c>
      <c r="J32" s="14">
        <f t="shared" si="2"/>
        <v>3866817.16232418</v>
      </c>
      <c r="K32" s="22">
        <f>1/(1+'Model Assumptions'!$C$20)^A32</f>
        <v>0.255093637143083</v>
      </c>
      <c r="L32" s="14">
        <f t="shared" si="3"/>
        <v>53396.0969490063</v>
      </c>
      <c r="M32" s="14">
        <f t="shared" si="4"/>
        <v>1654613.74968254</v>
      </c>
      <c r="N32" s="14">
        <f>'4Electric Bills'!K16*(1+'Model Assumptions'!$C$21)^A32</f>
        <v>656022.329991541</v>
      </c>
      <c r="O32" s="14">
        <f t="shared" si="5"/>
        <v>446702.734461778</v>
      </c>
      <c r="P32" s="14">
        <f t="shared" si="6"/>
        <v>12678964.2197096</v>
      </c>
      <c r="Q32" s="14">
        <f t="shared" si="7"/>
        <v>9494754.46788539</v>
      </c>
      <c r="R32" s="3"/>
      <c r="S32" s="3"/>
      <c r="T32" s="3"/>
      <c r="U32" s="3"/>
      <c r="V32" s="3"/>
      <c r="W32" s="3"/>
      <c r="X32" s="3"/>
      <c r="Y32" s="3"/>
      <c r="Z32" s="3"/>
    </row>
    <row r="33" spans="1:26">
      <c r="A33" s="20">
        <v>29</v>
      </c>
      <c r="B33" s="14">
        <v>0</v>
      </c>
      <c r="C33" s="14">
        <v>0</v>
      </c>
      <c r="D33" s="14">
        <f>'4Electric Bills'!V16*(1+'Model Assumptions'!$C$21)^(A33-1)*(1-'Model Assumptions'!$C$22)^(A33-1)</f>
        <v>105229.885305707</v>
      </c>
      <c r="E33" s="14">
        <f>'4Electric Bills'!X16*(1+'Model Assumptions'!$C$21)^(A33-1)*(1-'Model Assumptions'!$C$22)^(A33-1)</f>
        <v>7906.3421957988</v>
      </c>
      <c r="F33" s="14">
        <f>'4Electric Bills'!Y16*(1+'Model Assumptions'!$C$21)^(A33-1)</f>
        <v>11468.5547136861</v>
      </c>
      <c r="G33" s="14">
        <f>'4Electric Bills'!W16*(1+'Model Assumptions'!$C$21)^(A33-1)</f>
        <v>90082.0122490006</v>
      </c>
      <c r="H33" s="14">
        <f t="shared" si="1"/>
        <v>214686.794464193</v>
      </c>
      <c r="I33" s="14">
        <f t="shared" si="0"/>
        <v>214686.794464193</v>
      </c>
      <c r="J33" s="14">
        <f t="shared" si="2"/>
        <v>4081503.95678837</v>
      </c>
      <c r="K33" s="22">
        <f>1/(1+'Model Assumptions'!$C$20)^A33</f>
        <v>0.242946321088651</v>
      </c>
      <c r="L33" s="14">
        <f t="shared" si="3"/>
        <v>52157.3669013909</v>
      </c>
      <c r="M33" s="14">
        <f t="shared" si="4"/>
        <v>1706771.11658393</v>
      </c>
      <c r="N33" s="14">
        <f>'4Electric Bills'!K16*(1+'Model Assumptions'!$C$21)^A33</f>
        <v>675702.999891287</v>
      </c>
      <c r="O33" s="14">
        <f t="shared" si="5"/>
        <v>461016.205427094</v>
      </c>
      <c r="P33" s="14">
        <f t="shared" si="6"/>
        <v>13354667.2196009</v>
      </c>
      <c r="Q33" s="14">
        <f t="shared" si="7"/>
        <v>9955770.67331249</v>
      </c>
      <c r="R33" s="3"/>
      <c r="S33" s="3"/>
      <c r="T33" s="3"/>
      <c r="U33" s="3"/>
      <c r="V33" s="3"/>
      <c r="W33" s="3"/>
      <c r="X33" s="3"/>
      <c r="Y33" s="3"/>
      <c r="Z33" s="3"/>
    </row>
    <row r="34" spans="1:26">
      <c r="A34" s="20">
        <v>30</v>
      </c>
      <c r="B34" s="14">
        <v>0</v>
      </c>
      <c r="C34" s="14">
        <v>0</v>
      </c>
      <c r="D34" s="14">
        <f>'4Electric Bills'!V16*(1+'Model Assumptions'!$C$21)^(A34-1)*(1-'Model Assumptions'!$C$22)^(A34-1)</f>
        <v>107519.687609959</v>
      </c>
      <c r="E34" s="14">
        <f>'4Electric Bills'!X16*(1+'Model Assumptions'!$C$21)^(A34-1)*(1-'Model Assumptions'!$C$22)^(A34-1)</f>
        <v>8078.38420197938</v>
      </c>
      <c r="F34" s="14">
        <f>'4Electric Bills'!Y16*(1+'Model Assumptions'!$C$21)^(A34-1)</f>
        <v>11812.6113550967</v>
      </c>
      <c r="G34" s="14">
        <f>'4Electric Bills'!W16*(1+'Model Assumptions'!$C$21)^(A34-1)</f>
        <v>92784.4726164706</v>
      </c>
      <c r="H34" s="14">
        <f t="shared" si="1"/>
        <v>220195.155783506</v>
      </c>
      <c r="I34" s="14">
        <f t="shared" si="0"/>
        <v>220195.155783506</v>
      </c>
      <c r="J34" s="14">
        <f t="shared" si="2"/>
        <v>4301699.11257188</v>
      </c>
      <c r="K34" s="22">
        <f>1/(1+'Model Assumptions'!$C$20)^A34</f>
        <v>0.231377448655858</v>
      </c>
      <c r="L34" s="14">
        <f t="shared" si="3"/>
        <v>50948.1933515668</v>
      </c>
      <c r="M34" s="14">
        <f t="shared" si="4"/>
        <v>1757719.3099355</v>
      </c>
      <c r="N34" s="14">
        <f>'4Electric Bills'!K16*(1+'Model Assumptions'!$C$21)^A34</f>
        <v>695974.089888026</v>
      </c>
      <c r="O34" s="14">
        <f t="shared" si="5"/>
        <v>475778.93410452</v>
      </c>
      <c r="P34" s="14">
        <f t="shared" si="6"/>
        <v>14050641.3094889</v>
      </c>
      <c r="Q34" s="14">
        <f t="shared" si="7"/>
        <v>10431549.607417</v>
      </c>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ht="34" spans="1:26">
      <c r="A37" s="6" t="s">
        <v>563</v>
      </c>
      <c r="B37" s="6" t="s">
        <v>131</v>
      </c>
      <c r="C37" s="6" t="s">
        <v>132</v>
      </c>
      <c r="D37" s="6" t="s">
        <v>564</v>
      </c>
      <c r="E37" s="3"/>
      <c r="F37" s="3"/>
      <c r="G37" s="3"/>
      <c r="H37" s="3"/>
      <c r="I37" s="3"/>
      <c r="J37" s="3"/>
      <c r="K37" s="3"/>
      <c r="L37" s="3"/>
      <c r="M37" s="3"/>
      <c r="N37" s="3"/>
      <c r="O37" s="3"/>
      <c r="P37" s="3"/>
      <c r="Q37" s="3"/>
      <c r="R37" s="3"/>
      <c r="S37" s="3"/>
      <c r="T37" s="3"/>
      <c r="U37" s="3"/>
      <c r="V37" s="3"/>
      <c r="W37" s="3"/>
      <c r="X37" s="3"/>
      <c r="Y37" s="3"/>
      <c r="Z37" s="3"/>
    </row>
    <row r="38" ht="34" spans="1:26">
      <c r="A38" s="3" t="s">
        <v>397</v>
      </c>
      <c r="B38" s="14">
        <f>'3Rebates Incentives'!D4</f>
        <v>1074972.3</v>
      </c>
      <c r="C38" s="3" t="s">
        <v>565</v>
      </c>
      <c r="D38" s="3" t="s">
        <v>566</v>
      </c>
      <c r="E38" s="3"/>
      <c r="F38" s="3"/>
      <c r="G38" s="3"/>
      <c r="H38" s="3"/>
      <c r="I38" s="3"/>
      <c r="J38" s="3"/>
      <c r="K38" s="3"/>
      <c r="L38" s="3"/>
      <c r="M38" s="3"/>
      <c r="N38" s="3"/>
      <c r="O38" s="3"/>
      <c r="P38" s="3"/>
      <c r="Q38" s="3"/>
      <c r="R38" s="3"/>
      <c r="S38" s="3"/>
      <c r="T38" s="3"/>
      <c r="U38" s="3"/>
      <c r="V38" s="3"/>
      <c r="W38" s="3"/>
      <c r="X38" s="3"/>
      <c r="Y38" s="3"/>
      <c r="Z38" s="3"/>
    </row>
    <row r="39" ht="51" spans="1:26">
      <c r="A39" s="3" t="s">
        <v>567</v>
      </c>
      <c r="B39" s="14">
        <f>'3Rebates Incentives'!H19</f>
        <v>682607.4105</v>
      </c>
      <c r="C39" s="3" t="s">
        <v>565</v>
      </c>
      <c r="D39" s="3" t="s">
        <v>568</v>
      </c>
      <c r="E39" s="3"/>
      <c r="F39" s="3"/>
      <c r="G39" s="3"/>
      <c r="H39" s="3"/>
      <c r="I39" s="3"/>
      <c r="J39" s="3"/>
      <c r="K39" s="3"/>
      <c r="L39" s="3"/>
      <c r="M39" s="3"/>
      <c r="N39" s="3"/>
      <c r="O39" s="3"/>
      <c r="P39" s="3"/>
      <c r="Q39" s="3"/>
      <c r="R39" s="3"/>
      <c r="S39" s="3"/>
      <c r="T39" s="3"/>
      <c r="U39" s="3"/>
      <c r="V39" s="3"/>
      <c r="W39" s="3"/>
      <c r="X39" s="3"/>
      <c r="Y39" s="3"/>
      <c r="Z39" s="3"/>
    </row>
    <row r="40" ht="51" spans="1:26">
      <c r="A40" s="3" t="s">
        <v>538</v>
      </c>
      <c r="B40" s="14">
        <f>SUM(H5:H34)</f>
        <v>4694064.00207188</v>
      </c>
      <c r="C40" s="3" t="s">
        <v>565</v>
      </c>
      <c r="D40" s="3" t="s">
        <v>569</v>
      </c>
      <c r="E40" s="3"/>
      <c r="F40" s="3"/>
      <c r="G40" s="3"/>
      <c r="H40" s="3"/>
      <c r="I40" s="3"/>
      <c r="J40" s="3"/>
      <c r="K40" s="3"/>
      <c r="L40" s="3"/>
      <c r="M40" s="3"/>
      <c r="N40" s="3"/>
      <c r="O40" s="3"/>
      <c r="P40" s="3"/>
      <c r="Q40" s="3"/>
      <c r="R40" s="3"/>
      <c r="S40" s="3"/>
      <c r="T40" s="3"/>
      <c r="U40" s="3"/>
      <c r="V40" s="3"/>
      <c r="W40" s="3"/>
      <c r="X40" s="3"/>
      <c r="Y40" s="3"/>
      <c r="Z40" s="3"/>
    </row>
    <row r="41" ht="68" spans="1:26">
      <c r="A41" s="3" t="s">
        <v>539</v>
      </c>
      <c r="B41" s="14">
        <f>SUM(L4:L34)</f>
        <v>1757719.3099355</v>
      </c>
      <c r="C41" s="3" t="s">
        <v>565</v>
      </c>
      <c r="D41" s="3" t="s">
        <v>570</v>
      </c>
      <c r="E41" s="3"/>
      <c r="F41" s="3"/>
      <c r="G41" s="3"/>
      <c r="H41" s="3"/>
      <c r="I41" s="3"/>
      <c r="J41" s="3"/>
      <c r="K41" s="3"/>
      <c r="L41" s="3"/>
      <c r="M41" s="3"/>
      <c r="N41" s="3"/>
      <c r="O41" s="3"/>
      <c r="P41" s="3"/>
      <c r="Q41" s="3"/>
      <c r="R41" s="3"/>
      <c r="S41" s="3"/>
      <c r="T41" s="3"/>
      <c r="U41" s="3"/>
      <c r="V41" s="3"/>
      <c r="W41" s="3"/>
      <c r="X41" s="3"/>
      <c r="Y41" s="3"/>
      <c r="Z41" s="3"/>
    </row>
    <row r="42" ht="34" spans="1:26">
      <c r="A42" s="3" t="s">
        <v>404</v>
      </c>
      <c r="B42" s="12">
        <f>IRR(I4:I34)</f>
        <v>0.21518282780096</v>
      </c>
      <c r="C42" s="3" t="s">
        <v>571</v>
      </c>
      <c r="D42" s="3" t="s">
        <v>572</v>
      </c>
      <c r="E42" s="3"/>
      <c r="F42" s="3"/>
      <c r="G42" s="3"/>
      <c r="H42" s="3"/>
      <c r="I42" s="3"/>
      <c r="J42" s="3"/>
      <c r="K42" s="3"/>
      <c r="L42" s="3"/>
      <c r="M42" s="3"/>
      <c r="N42" s="3"/>
      <c r="O42" s="3"/>
      <c r="P42" s="3"/>
      <c r="Q42" s="3"/>
      <c r="R42" s="3"/>
      <c r="S42" s="3"/>
      <c r="T42" s="3"/>
      <c r="U42" s="3"/>
      <c r="V42" s="3"/>
      <c r="W42" s="3"/>
      <c r="X42" s="3"/>
      <c r="Y42" s="3"/>
      <c r="Z42" s="3"/>
    </row>
    <row r="43" ht="68" spans="1:26">
      <c r="A43" s="3" t="s">
        <v>573</v>
      </c>
      <c r="B43" s="21">
        <f>IF(J5&gt;=0,0+ABS(J4)/I5,IF(J6&gt;=0,1+ABS(J5)/I6,IF(J7&gt;=0,2+ABS(J6)/I7,IF(J8&gt;=0,3+ABS(J7)/I8,IF(J9&gt;=0,4+ABS(J8)/I9,IF(J10&gt;=0,5+ABS(J9)/I10,IF(J11&gt;=0,6+ABS(J10)/I11,IF(J12&gt;=0,7+ABS(J11)/I12,IF(J13&gt;=0,8+ABS(J12)/I13,IF(J14&gt;=0,9+ABS(J13)/I14,IF(J15&gt;=0,10+ABS(J14)/I15,IF(J16&gt;=0,11+ABS(J15)/I16,IF(J17&gt;=0,12+ABS(J16)/I17,IF(J18&gt;=0,13+ABS(J17)/I18,IF(J19&gt;=0,14+ABS(J18)/I19,IF(J20&gt;=0,15+ABS(J19)/I20,IF(J21&gt;=0,16+ABS(J20)/I21,IF(J22&gt;=0,17+ABS(J21)/I22,IF(J23&gt;=0,18+ABS(J22)/I23,IF(J24&gt;=0,19+ABS(J23)/I24,IF(J25&gt;=0,20+ABS(J24)/I25,IF(J26&gt;=0,21+ABS(J25)/I26,IF(J27&gt;=0,22+ABS(J26)/I27,IF(J28&gt;=0,23+ABS(J27)/I28,IF(J29&gt;=0,24+ABS(J28)/I29,IF(J30&gt;=0,25+ABS(J29)/I30,IF(J31&gt;=0,26+ABS(J30)/I31,IF(J32&gt;=0,27+ABS(J31)/I32,IF(J33&gt;=0,28+ABS(J32)/I33,IF(J34&gt;=0,29+ABS(J33)/I34,NA()))))))))))))))))))))))))))))))</f>
        <v>3.88764539094544</v>
      </c>
      <c r="C43" s="3" t="s">
        <v>188</v>
      </c>
      <c r="D43" s="3" t="s">
        <v>574</v>
      </c>
      <c r="E43" s="3"/>
      <c r="F43" s="3"/>
      <c r="G43" s="3"/>
      <c r="H43" s="3"/>
      <c r="I43" s="3"/>
      <c r="J43" s="3"/>
      <c r="K43" s="3"/>
      <c r="L43" s="3"/>
      <c r="M43" s="3"/>
      <c r="N43" s="3"/>
      <c r="O43" s="3"/>
      <c r="P43" s="3"/>
      <c r="Q43" s="3"/>
      <c r="R43" s="3"/>
      <c r="S43" s="3"/>
      <c r="T43" s="3"/>
      <c r="U43" s="3"/>
      <c r="V43" s="3"/>
      <c r="W43" s="3"/>
      <c r="X43" s="3"/>
      <c r="Y43" s="3"/>
      <c r="Z43" s="3"/>
    </row>
    <row r="44" ht="68" spans="1:26">
      <c r="A44" s="3" t="s">
        <v>575</v>
      </c>
      <c r="B44" s="21">
        <f>IF(M5&gt;=0,0+ABS(M4)/L5,IF(M6&gt;=0,1+ABS(M5)/L6,IF(M7&gt;=0,2+ABS(M6)/L7,IF(M8&gt;=0,3+ABS(M7)/L8,IF(M9&gt;=0,4+ABS(M8)/L9,IF(M10&gt;=0,5+ABS(M9)/L10,IF(M11&gt;=0,6+ABS(M10)/L11,IF(M12&gt;=0,7+ABS(M11)/L12,IF(M13&gt;=0,8+ABS(M12)/L13,IF(M14&gt;=0,9+ABS(M13)/L14,IF(M15&gt;=0,10+ABS(M14)/L15,IF(M16&gt;=0,11+ABS(M15)/L16,IF(M17&gt;=0,12+ABS(M16)/L17,IF(M18&gt;=0,13+ABS(M17)/L18,IF(M19&gt;=0,14+ABS(M18)/L19,IF(M20&gt;=0,15+ABS(M19)/L20,IF(M21&gt;=0,16+ABS(M20)/L21,IF(M22&gt;=0,17+ABS(M21)/L22,IF(M23&gt;=0,18+ABS(M22)/L23,IF(M24&gt;=0,19+ABS(M23)/L24,IF(M25&gt;=0,20+ABS(M24)/L25,IF(M26&gt;=0,21+ABS(M25)/L26,IF(M27&gt;=0,22+ABS(M26)/L27,IF(M28&gt;=0,23+ABS(M27)/L28,IF(M29&gt;=0,24+ABS(M28)/L29,IF(M30&gt;=0,25+ABS(M29)/L30,IF(M31&gt;=0,26+ABS(M30)/L31,IF(M32&gt;=0,27+ABS(M31)/L32,IF(M33&gt;=0,28+ABS(M32)/L33,IF(M34&gt;=0,29+ABS(M33)/L34,NA()))))))))))))))))))))))))))))))</f>
        <v>4.68652998471307</v>
      </c>
      <c r="C44" s="3" t="s">
        <v>188</v>
      </c>
      <c r="D44" s="3" t="s">
        <v>576</v>
      </c>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sheetData>
  <mergeCells count="2">
    <mergeCell ref="A1:G1"/>
    <mergeCell ref="A1:Q1"/>
  </mergeCells>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
  <sheetViews>
    <sheetView workbookViewId="0">
      <selection activeCell="A1" sqref="A1:D1"/>
    </sheetView>
  </sheetViews>
  <sheetFormatPr defaultColWidth="9" defaultRowHeight="16.8" outlineLevelCol="3"/>
  <cols>
    <col min="1" max="1" width="55" customWidth="1"/>
    <col min="2" max="2" width="22" customWidth="1"/>
    <col min="3" max="3" width="20" customWidth="1"/>
    <col min="4" max="4" width="22" customWidth="1"/>
  </cols>
  <sheetData>
    <row r="1" ht="23.2" spans="1:4">
      <c r="A1" s="2" t="s">
        <v>577</v>
      </c>
      <c r="B1" s="2"/>
      <c r="C1" s="2"/>
      <c r="D1" s="2"/>
    </row>
    <row r="2" spans="1:4">
      <c r="A2" s="3"/>
      <c r="B2" s="3"/>
      <c r="C2" s="3"/>
      <c r="D2" s="3"/>
    </row>
    <row r="3" ht="17" spans="1:4">
      <c r="A3" s="18" t="s">
        <v>578</v>
      </c>
      <c r="B3" s="18" t="s">
        <v>579</v>
      </c>
      <c r="C3" s="18" t="s">
        <v>580</v>
      </c>
      <c r="D3" s="18" t="s">
        <v>133</v>
      </c>
    </row>
    <row r="4" ht="17" spans="1:4">
      <c r="A4" s="3" t="s">
        <v>581</v>
      </c>
      <c r="B4" s="3" t="s">
        <v>582</v>
      </c>
      <c r="C4" s="3" t="s">
        <v>583</v>
      </c>
      <c r="D4" s="3" t="s">
        <v>584</v>
      </c>
    </row>
    <row r="5" ht="17" spans="1:4">
      <c r="A5" s="3" t="s">
        <v>585</v>
      </c>
      <c r="B5" s="3" t="s">
        <v>582</v>
      </c>
      <c r="C5" s="3" t="s">
        <v>586</v>
      </c>
      <c r="D5" s="3" t="s">
        <v>584</v>
      </c>
    </row>
    <row r="6" ht="17" spans="1:4">
      <c r="A6" s="3" t="s">
        <v>587</v>
      </c>
      <c r="B6" s="3" t="s">
        <v>582</v>
      </c>
      <c r="C6" s="3" t="s">
        <v>588</v>
      </c>
      <c r="D6" s="3" t="s">
        <v>584</v>
      </c>
    </row>
    <row r="7" ht="17" spans="1:4">
      <c r="A7" s="3" t="s">
        <v>589</v>
      </c>
      <c r="B7" s="3" t="s">
        <v>582</v>
      </c>
      <c r="C7" s="3" t="s">
        <v>590</v>
      </c>
      <c r="D7" s="3" t="s">
        <v>584</v>
      </c>
    </row>
    <row r="8" ht="17" spans="1:4">
      <c r="A8" s="3" t="s">
        <v>591</v>
      </c>
      <c r="B8" s="3" t="s">
        <v>592</v>
      </c>
      <c r="C8" s="3" t="s">
        <v>583</v>
      </c>
      <c r="D8" s="3" t="s">
        <v>584</v>
      </c>
    </row>
    <row r="9" ht="17" spans="1:4">
      <c r="A9" s="3" t="s">
        <v>593</v>
      </c>
      <c r="B9" s="3" t="s">
        <v>592</v>
      </c>
      <c r="C9" s="3" t="s">
        <v>594</v>
      </c>
      <c r="D9" s="3" t="s">
        <v>584</v>
      </c>
    </row>
    <row r="10" ht="34" spans="1:4">
      <c r="A10" s="3" t="s">
        <v>457</v>
      </c>
      <c r="B10" s="3" t="s">
        <v>592</v>
      </c>
      <c r="C10" s="3" t="s">
        <v>595</v>
      </c>
      <c r="D10" s="3" t="s">
        <v>584</v>
      </c>
    </row>
    <row r="11" ht="17" spans="1:4">
      <c r="A11" s="3" t="s">
        <v>596</v>
      </c>
      <c r="B11" s="3" t="s">
        <v>597</v>
      </c>
      <c r="C11" s="3" t="s">
        <v>598</v>
      </c>
      <c r="D11" s="3" t="s">
        <v>584</v>
      </c>
    </row>
    <row r="12" ht="17" spans="1:4">
      <c r="A12" s="3" t="s">
        <v>599</v>
      </c>
      <c r="B12" s="3" t="s">
        <v>600</v>
      </c>
      <c r="C12" s="3" t="s">
        <v>601</v>
      </c>
      <c r="D12" s="3" t="s">
        <v>602</v>
      </c>
    </row>
    <row r="13" ht="17" spans="1:4">
      <c r="A13" s="3" t="s">
        <v>603</v>
      </c>
      <c r="B13" s="3" t="s">
        <v>600</v>
      </c>
      <c r="C13" s="3" t="s">
        <v>604</v>
      </c>
      <c r="D13" s="3" t="s">
        <v>602</v>
      </c>
    </row>
    <row r="14" ht="17" spans="1:4">
      <c r="A14" s="3" t="s">
        <v>605</v>
      </c>
      <c r="B14" s="3" t="s">
        <v>340</v>
      </c>
      <c r="C14" s="3" t="s">
        <v>606</v>
      </c>
      <c r="D14" s="3" t="s">
        <v>584</v>
      </c>
    </row>
    <row r="15" ht="17" spans="1:4">
      <c r="A15" s="3" t="s">
        <v>607</v>
      </c>
      <c r="B15" s="3" t="s">
        <v>340</v>
      </c>
      <c r="C15" s="3" t="s">
        <v>608</v>
      </c>
      <c r="D15" s="3" t="s">
        <v>584</v>
      </c>
    </row>
    <row r="16" ht="17" spans="1:4">
      <c r="A16" s="3" t="s">
        <v>609</v>
      </c>
      <c r="B16" s="3" t="s">
        <v>610</v>
      </c>
      <c r="C16" s="3" t="s">
        <v>611</v>
      </c>
      <c r="D16" s="3" t="s">
        <v>584</v>
      </c>
    </row>
    <row r="17" ht="17" spans="1:4">
      <c r="A17" s="3" t="s">
        <v>612</v>
      </c>
      <c r="B17" s="3" t="s">
        <v>610</v>
      </c>
      <c r="C17" s="3" t="s">
        <v>613</v>
      </c>
      <c r="D17" s="3" t="s">
        <v>614</v>
      </c>
    </row>
    <row r="18" ht="17" spans="1:4">
      <c r="A18" s="3" t="s">
        <v>615</v>
      </c>
      <c r="B18" s="3" t="s">
        <v>616</v>
      </c>
      <c r="C18" s="3" t="s">
        <v>617</v>
      </c>
      <c r="D18" s="3" t="s">
        <v>584</v>
      </c>
    </row>
    <row r="19" spans="1:4">
      <c r="A19" s="3"/>
      <c r="B19" s="3"/>
      <c r="C19" s="3"/>
      <c r="D19" s="3"/>
    </row>
    <row r="20" spans="1:4">
      <c r="A20" s="3"/>
      <c r="B20" s="3"/>
      <c r="C20" s="3"/>
      <c r="D20" s="3"/>
    </row>
    <row r="21" spans="1:4">
      <c r="A21" s="3"/>
      <c r="B21" s="3"/>
      <c r="C21" s="3"/>
      <c r="D21" s="3"/>
    </row>
    <row r="22" spans="1:4">
      <c r="A22" s="3"/>
      <c r="B22" s="3"/>
      <c r="C22" s="3"/>
      <c r="D22" s="3"/>
    </row>
    <row r="23" spans="1:4">
      <c r="A23" s="3"/>
      <c r="B23" s="3"/>
      <c r="C23" s="3"/>
      <c r="D23" s="3"/>
    </row>
    <row r="24" spans="1:4">
      <c r="A24" s="3"/>
      <c r="B24" s="3"/>
      <c r="C24" s="3"/>
      <c r="D24" s="3"/>
    </row>
    <row r="25" spans="1:4">
      <c r="A25" s="3"/>
      <c r="B25" s="3"/>
      <c r="C25" s="3"/>
      <c r="D25" s="3"/>
    </row>
  </sheetData>
  <mergeCells count="1">
    <mergeCell ref="A1:D1"/>
  </mergeCells>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4"/>
  <sheetViews>
    <sheetView workbookViewId="0">
      <selection activeCell="A2" sqref="A2"/>
    </sheetView>
  </sheetViews>
  <sheetFormatPr defaultColWidth="9" defaultRowHeight="16.8"/>
  <cols>
    <col min="1" max="17" width="18" customWidth="1"/>
    <col min="18" max="23" width="20" customWidth="1"/>
  </cols>
  <sheetData>
    <row r="1" ht="23.2" spans="1:17">
      <c r="A1" s="2" t="s">
        <v>618</v>
      </c>
      <c r="B1" s="2"/>
      <c r="C1" s="2"/>
      <c r="D1" s="2"/>
      <c r="E1" s="2"/>
      <c r="F1" s="2"/>
      <c r="G1" s="2"/>
      <c r="H1" s="2"/>
      <c r="I1" s="2"/>
      <c r="J1" s="2"/>
      <c r="K1" s="2"/>
      <c r="L1" s="2"/>
      <c r="M1" s="2"/>
      <c r="N1" s="2"/>
      <c r="O1" s="2"/>
      <c r="P1" s="2"/>
      <c r="Q1" s="2"/>
    </row>
    <row r="2" spans="1:17">
      <c r="A2" s="3"/>
      <c r="B2" s="3"/>
      <c r="C2" s="3"/>
      <c r="D2" s="3"/>
      <c r="E2" s="3"/>
      <c r="F2" s="3"/>
      <c r="G2" s="3"/>
      <c r="H2" s="3"/>
      <c r="I2" s="3"/>
      <c r="J2" s="3"/>
      <c r="K2" s="3"/>
      <c r="L2" s="3"/>
      <c r="M2" s="3"/>
      <c r="N2" s="3"/>
      <c r="O2" s="3"/>
      <c r="P2" s="3"/>
      <c r="Q2" s="3"/>
    </row>
    <row r="3" ht="34" spans="1:23">
      <c r="A3" s="4" t="s">
        <v>213</v>
      </c>
      <c r="B3" s="4" t="s">
        <v>5</v>
      </c>
      <c r="C3" s="4" t="s">
        <v>512</v>
      </c>
      <c r="D3" s="4" t="s">
        <v>619</v>
      </c>
      <c r="E3" s="4" t="s">
        <v>620</v>
      </c>
      <c r="F3" s="4" t="s">
        <v>621</v>
      </c>
      <c r="G3" s="4" t="s">
        <v>622</v>
      </c>
      <c r="H3" s="4" t="s">
        <v>623</v>
      </c>
      <c r="I3" s="4" t="s">
        <v>624</v>
      </c>
      <c r="J3" s="4" t="s">
        <v>625</v>
      </c>
      <c r="K3" s="4" t="s">
        <v>626</v>
      </c>
      <c r="L3" s="4" t="s">
        <v>627</v>
      </c>
      <c r="M3" s="4" t="s">
        <v>628</v>
      </c>
      <c r="N3" s="4" t="s">
        <v>629</v>
      </c>
      <c r="O3" s="4" t="s">
        <v>630</v>
      </c>
      <c r="P3" s="4" t="s">
        <v>631</v>
      </c>
      <c r="Q3" s="4" t="s">
        <v>632</v>
      </c>
      <c r="R3" s="4" t="s">
        <v>633</v>
      </c>
      <c r="S3" s="4" t="s">
        <v>634</v>
      </c>
      <c r="T3" s="4" t="s">
        <v>635</v>
      </c>
      <c r="U3" s="4" t="s">
        <v>636</v>
      </c>
      <c r="V3" s="4" t="s">
        <v>637</v>
      </c>
      <c r="W3" s="4" t="s">
        <v>638</v>
      </c>
    </row>
    <row r="4" ht="17" spans="1:23">
      <c r="A4" s="3" t="s">
        <v>639</v>
      </c>
      <c r="B4" s="3">
        <f>'ESS Sizing'!B8</f>
        <v>33</v>
      </c>
      <c r="C4" s="3">
        <f>'PV Production'!B5</f>
        <v>54844</v>
      </c>
      <c r="D4" s="3">
        <f>'PV Production'!G5</f>
        <v>43391.64</v>
      </c>
      <c r="E4" s="3">
        <f t="shared" ref="E4:E15" si="0">MIN(C4,D4)</f>
        <v>43391.64</v>
      </c>
      <c r="F4" s="3">
        <f t="shared" ref="F4:F15" si="1">MAX(D4-C4,0)</f>
        <v>0</v>
      </c>
      <c r="G4" s="3">
        <f>'ESS Sizing'!E8</f>
        <v>2137</v>
      </c>
      <c r="H4" s="3">
        <f>'ESS Sizing'!I8*Recommendation!B9</f>
        <v>367.7184</v>
      </c>
      <c r="I4" s="3">
        <f t="shared" ref="I4:I15" si="2">MIN(F4,G4,H4*B4)</f>
        <v>0</v>
      </c>
      <c r="J4" s="3">
        <f t="shared" ref="J4:J15" si="3">MAX(MIN(G4,H4*B4)-I4,0)</f>
        <v>2137</v>
      </c>
      <c r="K4" s="3">
        <f t="shared" ref="K4:K15" si="4">I4+J4</f>
        <v>2137</v>
      </c>
      <c r="L4" s="12">
        <f t="shared" ref="L4:L16" si="5">K4/D4</f>
        <v>0.0492491180328745</v>
      </c>
      <c r="M4" s="3">
        <f>'Combined TOU Profile'!M8</f>
        <v>655</v>
      </c>
      <c r="N4" s="3">
        <f>'Demand Charge'!$B$20</f>
        <v>100</v>
      </c>
      <c r="O4" s="14">
        <f>'Demand Charge'!Q7</f>
        <v>2643.67396946565</v>
      </c>
      <c r="P4" s="14">
        <f>(E4+I4)*Financial!$B$17</f>
        <v>4007.05816590623</v>
      </c>
      <c r="Q4" s="14">
        <f>MAX(F4-I4,0)*'Model Assumptions'!$C$16</f>
        <v>0</v>
      </c>
      <c r="R4">
        <f>J4/'Model Assumptions'!$C$13</f>
        <v>2374.44444444444</v>
      </c>
      <c r="S4" s="16">
        <f>IFERROR(('Meter1 TOU Detail'!R8+'Meter2 TOU Detail'!R8)/('Meter1 TOU Detail'!Q8+'Meter2 TOU Detail'!Q8),0)</f>
        <v>0.0360224057417589</v>
      </c>
      <c r="T4" s="16">
        <f>IFERROR(('Meter1 TOU Detail'!N8+'Meter2 TOU Detail'!N8)/('Meter1 TOU Detail'!M8+'Meter2 TOU Detail'!M8),0)</f>
        <v>0.199578848853533</v>
      </c>
      <c r="U4" s="17">
        <f t="shared" ref="U4:U15" si="6">R4*S4</f>
        <v>85.5332011890431</v>
      </c>
      <c r="V4" s="17">
        <f t="shared" ref="V4:V15" si="7">J4*T4</f>
        <v>426.5</v>
      </c>
      <c r="W4" s="17">
        <f t="shared" ref="W4:W15" si="8">V4-U4</f>
        <v>340.966798810957</v>
      </c>
    </row>
    <row r="5" ht="17" spans="1:23">
      <c r="A5" s="3" t="s">
        <v>640</v>
      </c>
      <c r="B5" s="3">
        <f>'ESS Sizing'!B9</f>
        <v>30</v>
      </c>
      <c r="C5" s="3">
        <f>'PV Production'!B6</f>
        <v>48926</v>
      </c>
      <c r="D5" s="3">
        <f>'PV Production'!G6</f>
        <v>46834.144</v>
      </c>
      <c r="E5" s="3">
        <f t="shared" si="0"/>
        <v>46834.144</v>
      </c>
      <c r="F5" s="3">
        <f t="shared" si="1"/>
        <v>0</v>
      </c>
      <c r="G5" s="3">
        <f>'ESS Sizing'!E9</f>
        <v>1802</v>
      </c>
      <c r="H5" s="3">
        <f>'ESS Sizing'!I9*Recommendation!B9</f>
        <v>367.7184</v>
      </c>
      <c r="I5" s="3">
        <f t="shared" si="2"/>
        <v>0</v>
      </c>
      <c r="J5" s="3">
        <f t="shared" si="3"/>
        <v>1802</v>
      </c>
      <c r="K5" s="3">
        <f t="shared" si="4"/>
        <v>1802</v>
      </c>
      <c r="L5" s="12">
        <f t="shared" si="5"/>
        <v>0.0384762023194018</v>
      </c>
      <c r="M5" s="3">
        <f>'Combined TOU Profile'!M9</f>
        <v>640</v>
      </c>
      <c r="N5" s="3">
        <f>'Demand Charge'!$B$20</f>
        <v>100</v>
      </c>
      <c r="O5" s="14">
        <f>'Demand Charge'!Q8</f>
        <v>2702.971875</v>
      </c>
      <c r="P5" s="14">
        <f>(E5+I5)*Financial!$B$17</f>
        <v>4324.96073341382</v>
      </c>
      <c r="Q5" s="14">
        <f>MAX(F5-I5,0)*'Model Assumptions'!$C$16</f>
        <v>0</v>
      </c>
      <c r="R5">
        <f>J5/'Model Assumptions'!$C$13</f>
        <v>2002.22222222222</v>
      </c>
      <c r="S5" s="16">
        <f>IFERROR(('Meter1 TOU Detail'!R9+'Meter2 TOU Detail'!R9)/('Meter1 TOU Detail'!Q9+'Meter2 TOU Detail'!Q9),0)</f>
        <v>0.0383418510757909</v>
      </c>
      <c r="T5" s="16">
        <f>IFERROR(('Meter1 TOU Detail'!N9+'Meter2 TOU Detail'!N9)/('Meter1 TOU Detail'!M9+'Meter2 TOU Detail'!M9),0)</f>
        <v>0.19319089900111</v>
      </c>
      <c r="U5" s="17">
        <f t="shared" si="6"/>
        <v>76.7689062650835</v>
      </c>
      <c r="V5" s="17">
        <f t="shared" si="7"/>
        <v>348.13</v>
      </c>
      <c r="W5" s="17">
        <f t="shared" si="8"/>
        <v>271.361093734917</v>
      </c>
    </row>
    <row r="6" ht="17" spans="1:23">
      <c r="A6" s="3" t="s">
        <v>641</v>
      </c>
      <c r="B6" s="3">
        <f>'ESS Sizing'!B10</f>
        <v>29</v>
      </c>
      <c r="C6" s="3">
        <f>'PV Production'!B7</f>
        <v>52449</v>
      </c>
      <c r="D6" s="3">
        <f>'PV Production'!G7</f>
        <v>61748.868</v>
      </c>
      <c r="E6" s="3">
        <f t="shared" si="0"/>
        <v>52449</v>
      </c>
      <c r="F6" s="3">
        <f t="shared" si="1"/>
        <v>9299.868</v>
      </c>
      <c r="G6" s="3">
        <f>'ESS Sizing'!E10</f>
        <v>1437</v>
      </c>
      <c r="H6" s="3">
        <f>'ESS Sizing'!I10*Recommendation!B9</f>
        <v>367.7184</v>
      </c>
      <c r="I6" s="3">
        <f t="shared" si="2"/>
        <v>1437</v>
      </c>
      <c r="J6" s="3">
        <f t="shared" si="3"/>
        <v>0</v>
      </c>
      <c r="K6" s="3">
        <f t="shared" si="4"/>
        <v>1437</v>
      </c>
      <c r="L6" s="12">
        <f t="shared" si="5"/>
        <v>0.0232716816768204</v>
      </c>
      <c r="M6" s="3">
        <f>'Combined TOU Profile'!M10</f>
        <v>500</v>
      </c>
      <c r="N6" s="3">
        <f>'Demand Charge'!$B$20</f>
        <v>100</v>
      </c>
      <c r="O6" s="14">
        <f>'Demand Charge'!Q9</f>
        <v>3303.27623529412</v>
      </c>
      <c r="P6" s="14">
        <f>(E6+I6)*Financial!$B$17</f>
        <v>4976.17366681746</v>
      </c>
      <c r="Q6" s="14">
        <f>MAX(F6-I6,0)*'Model Assumptions'!$C$16</f>
        <v>393.1434</v>
      </c>
      <c r="R6">
        <f>J6/'Model Assumptions'!$C$13</f>
        <v>0</v>
      </c>
      <c r="S6" s="16">
        <f>IFERROR(('Meter1 TOU Detail'!R10+'Meter2 TOU Detail'!R10)/('Meter1 TOU Detail'!Q10+'Meter2 TOU Detail'!Q10),0)</f>
        <v>0.0378960774325013</v>
      </c>
      <c r="T6" s="16">
        <f>IFERROR(('Meter1 TOU Detail'!N10+'Meter2 TOU Detail'!N10)/('Meter1 TOU Detail'!M10+'Meter2 TOU Detail'!M10),0)</f>
        <v>0.185476687543493</v>
      </c>
      <c r="U6" s="17">
        <f t="shared" si="6"/>
        <v>0</v>
      </c>
      <c r="V6" s="17">
        <f t="shared" si="7"/>
        <v>0</v>
      </c>
      <c r="W6" s="17">
        <f t="shared" si="8"/>
        <v>0</v>
      </c>
    </row>
    <row r="7" ht="17" spans="1:23">
      <c r="A7" s="3" t="s">
        <v>642</v>
      </c>
      <c r="B7" s="3">
        <f>'ESS Sizing'!B11</f>
        <v>32</v>
      </c>
      <c r="C7" s="3">
        <f>'PV Production'!B8</f>
        <v>40752</v>
      </c>
      <c r="D7" s="3">
        <f>'PV Production'!G8</f>
        <v>69502.882</v>
      </c>
      <c r="E7" s="3">
        <f t="shared" si="0"/>
        <v>40752</v>
      </c>
      <c r="F7" s="3">
        <f t="shared" si="1"/>
        <v>28750.882</v>
      </c>
      <c r="G7" s="3">
        <f>'ESS Sizing'!E11</f>
        <v>1317</v>
      </c>
      <c r="H7" s="3">
        <f>'ESS Sizing'!I11*Recommendation!B9</f>
        <v>367.7184</v>
      </c>
      <c r="I7" s="3">
        <f t="shared" si="2"/>
        <v>1317</v>
      </c>
      <c r="J7" s="3">
        <f t="shared" si="3"/>
        <v>0</v>
      </c>
      <c r="K7" s="3">
        <f t="shared" si="4"/>
        <v>1317</v>
      </c>
      <c r="L7" s="12">
        <f t="shared" si="5"/>
        <v>0.0189488545237592</v>
      </c>
      <c r="M7" s="3">
        <f>'Combined TOU Profile'!M11</f>
        <v>442</v>
      </c>
      <c r="N7" s="3">
        <f>'Demand Charge'!$B$20</f>
        <v>100</v>
      </c>
      <c r="O7" s="14">
        <f>'Demand Charge'!Q10</f>
        <v>3210.75665158371</v>
      </c>
      <c r="P7" s="14">
        <f>(E7+I7)*Financial!$B$17</f>
        <v>3884.91723247863</v>
      </c>
      <c r="Q7" s="14">
        <f>MAX(F7-I7,0)*'Model Assumptions'!$C$16</f>
        <v>1371.6941</v>
      </c>
      <c r="R7">
        <f>J7/'Model Assumptions'!$C$13</f>
        <v>0</v>
      </c>
      <c r="S7" s="16">
        <f>IFERROR(('Meter1 TOU Detail'!R11+'Meter2 TOU Detail'!R11)/('Meter1 TOU Detail'!Q11+'Meter2 TOU Detail'!Q11),0)</f>
        <v>0.0382082121112144</v>
      </c>
      <c r="T7" s="16">
        <f>IFERROR(('Meter1 TOU Detail'!N11+'Meter2 TOU Detail'!N11)/('Meter1 TOU Detail'!M11+'Meter2 TOU Detail'!M11),0)</f>
        <v>0.182141230068337</v>
      </c>
      <c r="U7" s="17">
        <f t="shared" si="6"/>
        <v>0</v>
      </c>
      <c r="V7" s="17">
        <f t="shared" si="7"/>
        <v>0</v>
      </c>
      <c r="W7" s="17">
        <f t="shared" si="8"/>
        <v>0</v>
      </c>
    </row>
    <row r="8" ht="17" spans="1:23">
      <c r="A8" s="3" t="s">
        <v>643</v>
      </c>
      <c r="B8" s="3">
        <f>'ESS Sizing'!B12</f>
        <v>29</v>
      </c>
      <c r="C8" s="3">
        <f>'PV Production'!B9</f>
        <v>51220</v>
      </c>
      <c r="D8" s="3">
        <f>'PV Production'!G9</f>
        <v>76926.724</v>
      </c>
      <c r="E8" s="3">
        <f t="shared" si="0"/>
        <v>51220</v>
      </c>
      <c r="F8" s="3">
        <f t="shared" si="1"/>
        <v>25706.724</v>
      </c>
      <c r="G8" s="3">
        <f>'ESS Sizing'!E12</f>
        <v>1280.16231788625</v>
      </c>
      <c r="H8" s="3">
        <f>'ESS Sizing'!I12*Recommendation!B9</f>
        <v>367.7184</v>
      </c>
      <c r="I8" s="3">
        <f t="shared" si="2"/>
        <v>1280.16231788625</v>
      </c>
      <c r="J8" s="3">
        <f t="shared" si="3"/>
        <v>0</v>
      </c>
      <c r="K8" s="3">
        <f t="shared" si="4"/>
        <v>1280.16231788625</v>
      </c>
      <c r="L8" s="12">
        <f t="shared" si="5"/>
        <v>0.0166413211342036</v>
      </c>
      <c r="M8" s="3">
        <f>'Combined TOU Profile'!M12</f>
        <v>466</v>
      </c>
      <c r="N8" s="3">
        <f>'Demand Charge'!$B$20</f>
        <v>100</v>
      </c>
      <c r="O8" s="14">
        <f>'Demand Charge'!Q11</f>
        <v>3091.30180257511</v>
      </c>
      <c r="P8" s="14">
        <f>(E8+I8)*Financial!$B$17</f>
        <v>4848.19666016976</v>
      </c>
      <c r="Q8" s="14">
        <f>MAX(F8-I8,0)*'Model Assumptions'!$C$16</f>
        <v>1221.32808410569</v>
      </c>
      <c r="R8">
        <f>J8/'Model Assumptions'!$C$13</f>
        <v>0</v>
      </c>
      <c r="S8" s="16">
        <f>IFERROR(('Meter1 TOU Detail'!R12+'Meter2 TOU Detail'!R12)/('Meter1 TOU Detail'!Q12+'Meter2 TOU Detail'!Q12),0)</f>
        <v>0.0372699027011693</v>
      </c>
      <c r="T8" s="16">
        <f>IFERROR(('Meter1 TOU Detail'!N12+'Meter2 TOU Detail'!N12)/('Meter1 TOU Detail'!M12+'Meter2 TOU Detail'!M12),0)</f>
        <v>0.175721114342254</v>
      </c>
      <c r="U8" s="17">
        <f t="shared" si="6"/>
        <v>0</v>
      </c>
      <c r="V8" s="17">
        <f t="shared" si="7"/>
        <v>0</v>
      </c>
      <c r="W8" s="17">
        <f t="shared" si="8"/>
        <v>0</v>
      </c>
    </row>
    <row r="9" ht="17" spans="1:23">
      <c r="A9" s="3" t="s">
        <v>644</v>
      </c>
      <c r="B9" s="3">
        <f>'ESS Sizing'!B13</f>
        <v>30</v>
      </c>
      <c r="C9" s="3">
        <f>'PV Production'!B10</f>
        <v>50744</v>
      </c>
      <c r="D9" s="3">
        <f>'PV Production'!G10</f>
        <v>76305.766</v>
      </c>
      <c r="E9" s="3">
        <f t="shared" si="0"/>
        <v>50744</v>
      </c>
      <c r="F9" s="3">
        <f t="shared" si="1"/>
        <v>25561.766</v>
      </c>
      <c r="G9" s="3">
        <f>'ESS Sizing'!E13</f>
        <v>2001</v>
      </c>
      <c r="H9" s="3">
        <f>'ESS Sizing'!I13*Recommendation!B9</f>
        <v>367.7184</v>
      </c>
      <c r="I9" s="3">
        <f t="shared" si="2"/>
        <v>2001</v>
      </c>
      <c r="J9" s="3">
        <f t="shared" si="3"/>
        <v>0</v>
      </c>
      <c r="K9" s="3">
        <f t="shared" si="4"/>
        <v>2001</v>
      </c>
      <c r="L9" s="12">
        <f t="shared" si="5"/>
        <v>0.0262234442414221</v>
      </c>
      <c r="M9" s="3">
        <f>'Combined TOU Profile'!M13</f>
        <v>471</v>
      </c>
      <c r="N9" s="3">
        <f>'Demand Charge'!$B$20</f>
        <v>100</v>
      </c>
      <c r="O9" s="14">
        <f>'Demand Charge'!Q12</f>
        <v>3039.46492569002</v>
      </c>
      <c r="P9" s="14">
        <f>(E9+I9)*Financial!$B$17</f>
        <v>4870.80651850735</v>
      </c>
      <c r="Q9" s="14">
        <f>MAX(F9-I9,0)*'Model Assumptions'!$C$16</f>
        <v>1178.0383</v>
      </c>
      <c r="R9">
        <f>J9/'Model Assumptions'!$C$13</f>
        <v>0</v>
      </c>
      <c r="S9" s="16">
        <f>IFERROR(('Meter1 TOU Detail'!L13+'Meter2 TOU Detail'!L13)/('Meter1 TOU Detail'!K13+'Meter2 TOU Detail'!K13),0)</f>
        <v>0.128778075138047</v>
      </c>
      <c r="T9" s="16">
        <f>IFERROR(('Meter1 TOU Detail'!H13+'Meter2 TOU Detail'!H13)/('Meter1 TOU Detail'!G13+'Meter2 TOU Detail'!G13),0)</f>
        <v>0.714305555555556</v>
      </c>
      <c r="U9" s="17">
        <f t="shared" si="6"/>
        <v>0</v>
      </c>
      <c r="V9" s="17">
        <f t="shared" si="7"/>
        <v>0</v>
      </c>
      <c r="W9" s="17">
        <f t="shared" si="8"/>
        <v>0</v>
      </c>
    </row>
    <row r="10" ht="17" spans="1:23">
      <c r="A10" s="3" t="s">
        <v>645</v>
      </c>
      <c r="B10" s="3">
        <f>'ESS Sizing'!B14</f>
        <v>33</v>
      </c>
      <c r="C10" s="3">
        <f>'PV Production'!B11</f>
        <v>81109</v>
      </c>
      <c r="D10" s="3">
        <f>'PV Production'!G11</f>
        <v>70470.772</v>
      </c>
      <c r="E10" s="3">
        <f t="shared" si="0"/>
        <v>70470.772</v>
      </c>
      <c r="F10" s="3">
        <f t="shared" si="1"/>
        <v>0</v>
      </c>
      <c r="G10" s="3">
        <f>'ESS Sizing'!E14</f>
        <v>2798</v>
      </c>
      <c r="H10" s="3">
        <f>'ESS Sizing'!I14*Recommendation!B9</f>
        <v>367.7184</v>
      </c>
      <c r="I10" s="3">
        <f t="shared" si="2"/>
        <v>0</v>
      </c>
      <c r="J10" s="3">
        <f t="shared" si="3"/>
        <v>2798</v>
      </c>
      <c r="K10" s="3">
        <f t="shared" si="4"/>
        <v>2798</v>
      </c>
      <c r="L10" s="12">
        <f t="shared" si="5"/>
        <v>0.0397044039761619</v>
      </c>
      <c r="M10" s="3">
        <f>'Combined TOU Profile'!M14</f>
        <v>725</v>
      </c>
      <c r="N10" s="3">
        <f>'Demand Charge'!$B$20</f>
        <v>100</v>
      </c>
      <c r="O10" s="14">
        <f>'Demand Charge'!Q13</f>
        <v>3690.6724137931</v>
      </c>
      <c r="P10" s="14">
        <f>(E10+I10)*Financial!$B$17</f>
        <v>6507.71628821395</v>
      </c>
      <c r="Q10" s="14">
        <f>MAX(F10-I10,0)*'Model Assumptions'!$C$16</f>
        <v>0</v>
      </c>
      <c r="R10">
        <f>J10/'Model Assumptions'!$C$13</f>
        <v>3108.88888888889</v>
      </c>
      <c r="S10" s="16">
        <f>IFERROR(('Meter1 TOU Detail'!L14+'Meter2 TOU Detail'!L14)/('Meter1 TOU Detail'!K14+'Meter2 TOU Detail'!K14),0)</f>
        <v>0.126451967156594</v>
      </c>
      <c r="T10" s="16">
        <f>IFERROR(('Meter1 TOU Detail'!H14+'Meter2 TOU Detail'!H14)/('Meter1 TOU Detail'!G14+'Meter2 TOU Detail'!G14),0)</f>
        <v>0.641990361445783</v>
      </c>
      <c r="U10" s="17">
        <f t="shared" si="6"/>
        <v>393.125115671278</v>
      </c>
      <c r="V10" s="17">
        <f t="shared" si="7"/>
        <v>1796.2890313253</v>
      </c>
      <c r="W10" s="17">
        <f t="shared" si="8"/>
        <v>1403.16391565402</v>
      </c>
    </row>
    <row r="11" ht="17" spans="1:23">
      <c r="A11" s="3" t="s">
        <v>646</v>
      </c>
      <c r="B11" s="3">
        <f>'ESS Sizing'!B15</f>
        <v>29</v>
      </c>
      <c r="C11" s="3">
        <f>'PV Production'!B12</f>
        <v>80723</v>
      </c>
      <c r="D11" s="3">
        <f>'PV Production'!G12</f>
        <v>69633.61</v>
      </c>
      <c r="E11" s="3">
        <f t="shared" si="0"/>
        <v>69633.61</v>
      </c>
      <c r="F11" s="3">
        <f t="shared" si="1"/>
        <v>0</v>
      </c>
      <c r="G11" s="3">
        <f>'ESS Sizing'!E15</f>
        <v>5523</v>
      </c>
      <c r="H11" s="3">
        <f>'ESS Sizing'!I15*Recommendation!B9</f>
        <v>367.7184</v>
      </c>
      <c r="I11" s="3">
        <f t="shared" si="2"/>
        <v>0</v>
      </c>
      <c r="J11" s="3">
        <f t="shared" si="3"/>
        <v>5523</v>
      </c>
      <c r="K11" s="3">
        <f t="shared" si="4"/>
        <v>5523</v>
      </c>
      <c r="L11" s="12">
        <f t="shared" si="5"/>
        <v>0.0793151468091343</v>
      </c>
      <c r="M11" s="3">
        <f>'Combined TOU Profile'!M15</f>
        <v>705</v>
      </c>
      <c r="N11" s="3">
        <f>'Demand Charge'!$B$20</f>
        <v>100</v>
      </c>
      <c r="O11" s="14">
        <f>'Demand Charge'!Q14</f>
        <v>4235.22340425532</v>
      </c>
      <c r="P11" s="14">
        <f>(E11+I11)*Financial!$B$17</f>
        <v>6430.40746033175</v>
      </c>
      <c r="Q11" s="14">
        <f>MAX(F11-I11,0)*'Model Assumptions'!$C$16</f>
        <v>0</v>
      </c>
      <c r="R11">
        <f>J11/'Model Assumptions'!$C$13</f>
        <v>6136.66666666667</v>
      </c>
      <c r="S11" s="16">
        <f>IFERROR(('Meter1 TOU Detail'!L15+'Meter2 TOU Detail'!L15)/('Meter1 TOU Detail'!K15+'Meter2 TOU Detail'!K15),0)</f>
        <v>0.127340824468085</v>
      </c>
      <c r="T11" s="16">
        <f>IFERROR(('Meter1 TOU Detail'!H15+'Meter2 TOU Detail'!H15)/('Meter1 TOU Detail'!G15+'Meter2 TOU Detail'!G15),0)</f>
        <v>0.386396156991006</v>
      </c>
      <c r="U11" s="17">
        <f t="shared" si="6"/>
        <v>781.448192819148</v>
      </c>
      <c r="V11" s="17">
        <f t="shared" si="7"/>
        <v>2134.06597506133</v>
      </c>
      <c r="W11" s="17">
        <f t="shared" si="8"/>
        <v>1352.61778224218</v>
      </c>
    </row>
    <row r="12" ht="17" spans="1:23">
      <c r="A12" s="3" t="s">
        <v>647</v>
      </c>
      <c r="B12" s="3">
        <f>'ESS Sizing'!B16</f>
        <v>30</v>
      </c>
      <c r="C12" s="3">
        <f>'PV Production'!B13</f>
        <v>84369</v>
      </c>
      <c r="D12" s="3">
        <f>'PV Production'!G13</f>
        <v>60646.06</v>
      </c>
      <c r="E12" s="3">
        <f t="shared" si="0"/>
        <v>60646.06</v>
      </c>
      <c r="F12" s="3">
        <f t="shared" si="1"/>
        <v>0</v>
      </c>
      <c r="G12" s="3">
        <f>'ESS Sizing'!E16</f>
        <v>4411</v>
      </c>
      <c r="H12" s="3">
        <f>'ESS Sizing'!I16*Recommendation!B9</f>
        <v>367.7184</v>
      </c>
      <c r="I12" s="3">
        <f t="shared" si="2"/>
        <v>0</v>
      </c>
      <c r="J12" s="3">
        <f t="shared" si="3"/>
        <v>4411</v>
      </c>
      <c r="K12" s="3">
        <f t="shared" si="4"/>
        <v>4411</v>
      </c>
      <c r="L12" s="12">
        <f t="shared" si="5"/>
        <v>0.0727334966195661</v>
      </c>
      <c r="M12" s="3">
        <f>'Combined TOU Profile'!M16</f>
        <v>730</v>
      </c>
      <c r="N12" s="3">
        <f>'Demand Charge'!$B$20</f>
        <v>100</v>
      </c>
      <c r="O12" s="14">
        <f>'Demand Charge'!Q15</f>
        <v>4789.6301369863</v>
      </c>
      <c r="P12" s="14">
        <f>(E12+I12)*Financial!$B$17</f>
        <v>5600.44031414897</v>
      </c>
      <c r="Q12" s="14">
        <f>MAX(F12-I12,0)*'Model Assumptions'!$C$16</f>
        <v>0</v>
      </c>
      <c r="R12">
        <f>J12/'Model Assumptions'!$C$13</f>
        <v>4901.11111111111</v>
      </c>
      <c r="S12" s="16">
        <f>IFERROR(('Meter1 TOU Detail'!L16+'Meter2 TOU Detail'!L16)/('Meter1 TOU Detail'!K16+'Meter2 TOU Detail'!K16),0)</f>
        <v>0.124511993796743</v>
      </c>
      <c r="T12" s="16">
        <f>IFERROR(('Meter1 TOU Detail'!H16+'Meter2 TOU Detail'!H16)/('Meter1 TOU Detail'!G16+'Meter2 TOU Detail'!G16),0)</f>
        <v>0.374468535166579</v>
      </c>
      <c r="U12" s="17">
        <f t="shared" si="6"/>
        <v>610.247116263815</v>
      </c>
      <c r="V12" s="17">
        <f t="shared" si="7"/>
        <v>1651.78070861978</v>
      </c>
      <c r="W12" s="17">
        <f t="shared" si="8"/>
        <v>1041.53359235597</v>
      </c>
    </row>
    <row r="13" ht="17" spans="1:23">
      <c r="A13" s="3" t="s">
        <v>648</v>
      </c>
      <c r="B13" s="3">
        <f>'ESS Sizing'!B5</f>
        <v>29</v>
      </c>
      <c r="C13" s="3">
        <f>'PV Production'!B14</f>
        <v>50017</v>
      </c>
      <c r="D13" s="3">
        <f>'PV Production'!G14</f>
        <v>54977.828</v>
      </c>
      <c r="E13" s="3">
        <f t="shared" si="0"/>
        <v>50017</v>
      </c>
      <c r="F13" s="3">
        <f t="shared" si="1"/>
        <v>4960.828</v>
      </c>
      <c r="G13" s="3">
        <f>'ESS Sizing'!E5</f>
        <v>1701</v>
      </c>
      <c r="H13" s="3">
        <f>'ESS Sizing'!I5*Recommendation!B9</f>
        <v>367.7184</v>
      </c>
      <c r="I13" s="3">
        <f t="shared" si="2"/>
        <v>1701</v>
      </c>
      <c r="J13" s="3">
        <f t="shared" si="3"/>
        <v>0</v>
      </c>
      <c r="K13" s="3">
        <f t="shared" si="4"/>
        <v>1701</v>
      </c>
      <c r="L13" s="12">
        <f t="shared" si="5"/>
        <v>0.0309397453824476</v>
      </c>
      <c r="M13" s="3">
        <f>'Combined TOU Profile'!M5</f>
        <v>552</v>
      </c>
      <c r="N13" s="3">
        <f>'Demand Charge'!$B$20</f>
        <v>100</v>
      </c>
      <c r="O13" s="14">
        <f>'Demand Charge'!Q4</f>
        <v>2887.84984180445</v>
      </c>
      <c r="P13" s="14">
        <f>(E13+I13)*Financial!$B$17</f>
        <v>4775.96685039649</v>
      </c>
      <c r="Q13" s="14">
        <f>MAX(F13-I13,0)*'Model Assumptions'!$C$16</f>
        <v>162.9914</v>
      </c>
      <c r="R13">
        <f>J13/'Model Assumptions'!$C$13</f>
        <v>0</v>
      </c>
      <c r="S13" s="16">
        <f>IFERROR(('Meter1 TOU Detail'!R5+'Meter2 TOU Detail'!R5)/('Meter1 TOU Detail'!Q5+'Meter2 TOU Detail'!Q5),0)</f>
        <v>0.0319744510978044</v>
      </c>
      <c r="T13" s="16">
        <f>IFERROR(('Meter1 TOU Detail'!N5+'Meter2 TOU Detail'!N5)/('Meter1 TOU Detail'!M5+'Meter2 TOU Detail'!M5),0)</f>
        <v>0.184941494149415</v>
      </c>
      <c r="U13" s="17">
        <f t="shared" si="6"/>
        <v>0</v>
      </c>
      <c r="V13" s="17">
        <f t="shared" si="7"/>
        <v>0</v>
      </c>
      <c r="W13" s="17">
        <f t="shared" si="8"/>
        <v>0</v>
      </c>
    </row>
    <row r="14" ht="17" spans="1:23">
      <c r="A14" s="3" t="s">
        <v>649</v>
      </c>
      <c r="B14" s="3">
        <f>'ESS Sizing'!B6</f>
        <v>32</v>
      </c>
      <c r="C14" s="3">
        <f>'PV Production'!B15</f>
        <v>61096</v>
      </c>
      <c r="D14" s="3">
        <f>'PV Production'!G15</f>
        <v>42779.9</v>
      </c>
      <c r="E14" s="3">
        <f t="shared" si="0"/>
        <v>42779.9</v>
      </c>
      <c r="F14" s="3">
        <f t="shared" si="1"/>
        <v>0</v>
      </c>
      <c r="G14" s="3">
        <f>'ESS Sizing'!E6</f>
        <v>1654</v>
      </c>
      <c r="H14" s="3">
        <f>'ESS Sizing'!I6*Recommendation!B9</f>
        <v>367.7184</v>
      </c>
      <c r="I14" s="3">
        <f t="shared" si="2"/>
        <v>0</v>
      </c>
      <c r="J14" s="3">
        <f t="shared" si="3"/>
        <v>1654</v>
      </c>
      <c r="K14" s="3">
        <f t="shared" si="4"/>
        <v>1654</v>
      </c>
      <c r="L14" s="12">
        <f t="shared" si="5"/>
        <v>0.0386630169775993</v>
      </c>
      <c r="M14" s="3">
        <f>'Combined TOU Profile'!M6</f>
        <v>622</v>
      </c>
      <c r="N14" s="3">
        <f>'Demand Charge'!$B$20</f>
        <v>100</v>
      </c>
      <c r="O14" s="14">
        <f>'Demand Charge'!Q5</f>
        <v>2623.63003215434</v>
      </c>
      <c r="P14" s="14">
        <f>(E14+I14)*Financial!$B$17</f>
        <v>3950.56622961593</v>
      </c>
      <c r="Q14" s="14">
        <f>MAX(F14-I14,0)*'Model Assumptions'!$C$16</f>
        <v>0</v>
      </c>
      <c r="R14">
        <f>J14/'Model Assumptions'!$C$13</f>
        <v>1837.77777777778</v>
      </c>
      <c r="S14" s="16">
        <f>IFERROR(('Meter1 TOU Detail'!R6+'Meter2 TOU Detail'!R6)/('Meter1 TOU Detail'!Q6+'Meter2 TOU Detail'!Q6),0)</f>
        <v>0.0317221693625119</v>
      </c>
      <c r="T14" s="16">
        <f>IFERROR(('Meter1 TOU Detail'!N6+'Meter2 TOU Detail'!N6)/('Meter1 TOU Detail'!M6+'Meter2 TOU Detail'!M6),0)</f>
        <v>0.198875453446191</v>
      </c>
      <c r="U14" s="17">
        <f t="shared" si="6"/>
        <v>58.2982979173274</v>
      </c>
      <c r="V14" s="17">
        <f t="shared" si="7"/>
        <v>328.94</v>
      </c>
      <c r="W14" s="17">
        <f t="shared" si="8"/>
        <v>270.641702082673</v>
      </c>
    </row>
    <row r="15" ht="17" spans="1:23">
      <c r="A15" s="3" t="s">
        <v>650</v>
      </c>
      <c r="B15" s="3">
        <f>'ESS Sizing'!B7</f>
        <v>30</v>
      </c>
      <c r="C15" s="3">
        <f>'PV Production'!B16</f>
        <v>53252</v>
      </c>
      <c r="D15" s="3">
        <f>'PV Production'!G16</f>
        <v>36989.32</v>
      </c>
      <c r="E15" s="3">
        <f t="shared" si="0"/>
        <v>36989.32</v>
      </c>
      <c r="F15" s="3">
        <f t="shared" si="1"/>
        <v>0</v>
      </c>
      <c r="G15" s="3">
        <f>'ESS Sizing'!E7</f>
        <v>2024</v>
      </c>
      <c r="H15" s="3">
        <f>'ESS Sizing'!I7*Recommendation!B9</f>
        <v>367.7184</v>
      </c>
      <c r="I15" s="3">
        <f t="shared" si="2"/>
        <v>0</v>
      </c>
      <c r="J15" s="3">
        <f t="shared" si="3"/>
        <v>2024</v>
      </c>
      <c r="K15" s="3">
        <f t="shared" si="4"/>
        <v>2024</v>
      </c>
      <c r="L15" s="12">
        <f t="shared" si="5"/>
        <v>0.0547184971229533</v>
      </c>
      <c r="M15" s="3">
        <f>'Combined TOU Profile'!M7</f>
        <v>513</v>
      </c>
      <c r="N15" s="3">
        <f>'Demand Charge'!$B$20</f>
        <v>100</v>
      </c>
      <c r="O15" s="14">
        <f>'Demand Charge'!Q6</f>
        <v>3154.30214424951</v>
      </c>
      <c r="P15" s="14">
        <f>(E15+I15)*Financial!$B$17</f>
        <v>3415.82749021052</v>
      </c>
      <c r="Q15" s="14">
        <f>MAX(F15-I15,0)*'Model Assumptions'!$C$16</f>
        <v>0</v>
      </c>
      <c r="R15">
        <f>J15/'Model Assumptions'!$C$13</f>
        <v>2248.88888888889</v>
      </c>
      <c r="S15" s="16">
        <f>IFERROR(('Meter1 TOU Detail'!R7+'Meter2 TOU Detail'!R7)/('Meter1 TOU Detail'!Q7+'Meter2 TOU Detail'!Q7),0)</f>
        <v>0.0322275713235469</v>
      </c>
      <c r="T15" s="16">
        <f>IFERROR(('Meter1 TOU Detail'!N7+'Meter2 TOU Detail'!N7)/('Meter1 TOU Detail'!M7+'Meter2 TOU Detail'!M7),0)</f>
        <v>0.200014822134387</v>
      </c>
      <c r="U15" s="17">
        <f t="shared" si="6"/>
        <v>72.4762270653988</v>
      </c>
      <c r="V15" s="17">
        <f t="shared" si="7"/>
        <v>404.829999999999</v>
      </c>
      <c r="W15" s="17">
        <f t="shared" si="8"/>
        <v>332.3537729346</v>
      </c>
    </row>
    <row r="16" ht="17" spans="1:23">
      <c r="A16" s="10" t="s">
        <v>224</v>
      </c>
      <c r="B16" s="10">
        <f t="shared" ref="B16:G16" si="9">SUM(B4:B15)</f>
        <v>366</v>
      </c>
      <c r="C16" s="10">
        <f t="shared" si="9"/>
        <v>709501</v>
      </c>
      <c r="D16" s="10">
        <f t="shared" si="9"/>
        <v>710207.514</v>
      </c>
      <c r="E16" s="10">
        <f t="shared" si="9"/>
        <v>615927.446</v>
      </c>
      <c r="F16" s="10">
        <f t="shared" si="9"/>
        <v>94280.068</v>
      </c>
      <c r="G16" s="10">
        <f t="shared" si="9"/>
        <v>28085.1623178862</v>
      </c>
      <c r="H16" s="10">
        <f>MAX(H4:H15)</f>
        <v>367.7184</v>
      </c>
      <c r="I16" s="10">
        <f>SUM(I4:I15)</f>
        <v>7736.16231788625</v>
      </c>
      <c r="J16" s="10">
        <f>SUM(J4:J15)</f>
        <v>20349</v>
      </c>
      <c r="K16" s="10">
        <f>SUM(K4:K15)</f>
        <v>28085.1623178863</v>
      </c>
      <c r="L16" s="13">
        <f t="shared" si="5"/>
        <v>0.0395450086971148</v>
      </c>
      <c r="M16" s="10">
        <f>MAX(M4:M15)</f>
        <v>730</v>
      </c>
      <c r="N16" s="10">
        <f>'Demand Charge'!$B$20</f>
        <v>100</v>
      </c>
      <c r="O16" s="15">
        <f>SUM(O4:O15)</f>
        <v>39372.7534328516</v>
      </c>
      <c r="P16" s="15">
        <f>SUM(P4:P15)</f>
        <v>57593.0376102109</v>
      </c>
      <c r="Q16" s="15">
        <f>SUM(Q4:Q15)</f>
        <v>4327.19528410569</v>
      </c>
      <c r="R16">
        <f>SUM(R4:R15)</f>
        <v>22610</v>
      </c>
      <c r="S16" s="16">
        <f>IFERROR(U16/R16,0)</f>
        <v>0.091901683201729</v>
      </c>
      <c r="T16" s="16">
        <f>IFERROR(V16/J16,0)</f>
        <v>0.348446396137717</v>
      </c>
      <c r="U16" s="17">
        <f>SUM(U4:U15)</f>
        <v>2077.89705719109</v>
      </c>
      <c r="V16" s="17">
        <f>SUM(V4:V15)</f>
        <v>7090.53571500641</v>
      </c>
      <c r="W16" s="17">
        <f>SUM(W4:W15)</f>
        <v>5012.63865781531</v>
      </c>
    </row>
    <row r="17" spans="1:17">
      <c r="A17" s="3"/>
      <c r="B17" s="3"/>
      <c r="C17" s="3"/>
      <c r="D17" s="3"/>
      <c r="E17" s="3"/>
      <c r="F17" s="3"/>
      <c r="G17" s="3"/>
      <c r="H17" s="3"/>
      <c r="I17" s="3"/>
      <c r="J17" s="3"/>
      <c r="K17" s="3"/>
      <c r="L17" s="3"/>
      <c r="M17" s="3"/>
      <c r="N17" s="3"/>
      <c r="O17" s="3"/>
      <c r="P17" s="3"/>
      <c r="Q17" s="3"/>
    </row>
    <row r="18" spans="1:17">
      <c r="A18" s="3"/>
      <c r="B18" s="3"/>
      <c r="C18" s="3"/>
      <c r="D18" s="3"/>
      <c r="E18" s="3"/>
      <c r="F18" s="3"/>
      <c r="G18" s="3"/>
      <c r="H18" s="3"/>
      <c r="I18" s="3"/>
      <c r="J18" s="3"/>
      <c r="K18" s="3"/>
      <c r="L18" s="3"/>
      <c r="M18" s="3"/>
      <c r="N18" s="3"/>
      <c r="O18" s="3"/>
      <c r="P18" s="3"/>
      <c r="Q18" s="3"/>
    </row>
    <row r="19" spans="1:23">
      <c r="A19" s="11" t="s">
        <v>651</v>
      </c>
      <c r="B19" s="11"/>
      <c r="C19" s="11"/>
      <c r="D19" s="11"/>
      <c r="E19" s="11"/>
      <c r="F19" s="11"/>
      <c r="G19" s="11"/>
      <c r="H19" s="11"/>
      <c r="I19" s="11"/>
      <c r="J19" s="11"/>
      <c r="K19" s="11"/>
      <c r="L19" s="11"/>
      <c r="M19" s="11"/>
      <c r="N19" s="11"/>
      <c r="O19" s="11"/>
      <c r="P19" s="11"/>
      <c r="Q19" s="11"/>
      <c r="R19" s="11"/>
      <c r="S19" s="11"/>
      <c r="T19" s="11"/>
      <c r="U19" s="11"/>
      <c r="V19" s="11"/>
      <c r="W19" s="11"/>
    </row>
    <row r="20" spans="1:23">
      <c r="A20" s="11"/>
      <c r="B20" s="11"/>
      <c r="C20" s="11"/>
      <c r="D20" s="11"/>
      <c r="E20" s="11"/>
      <c r="F20" s="11"/>
      <c r="G20" s="11"/>
      <c r="H20" s="11"/>
      <c r="I20" s="11"/>
      <c r="J20" s="11"/>
      <c r="K20" s="11"/>
      <c r="L20" s="11"/>
      <c r="M20" s="11"/>
      <c r="N20" s="11"/>
      <c r="O20" s="11"/>
      <c r="P20" s="11"/>
      <c r="Q20" s="11"/>
      <c r="R20" s="11"/>
      <c r="S20" s="11"/>
      <c r="T20" s="11"/>
      <c r="U20" s="11"/>
      <c r="V20" s="11"/>
      <c r="W20" s="11"/>
    </row>
    <row r="21" spans="1:23">
      <c r="A21" s="11"/>
      <c r="B21" s="11"/>
      <c r="C21" s="11"/>
      <c r="D21" s="11"/>
      <c r="E21" s="11"/>
      <c r="F21" s="11"/>
      <c r="G21" s="11"/>
      <c r="H21" s="11"/>
      <c r="I21" s="11"/>
      <c r="J21" s="11"/>
      <c r="K21" s="11"/>
      <c r="L21" s="11"/>
      <c r="M21" s="11"/>
      <c r="N21" s="11"/>
      <c r="O21" s="11"/>
      <c r="P21" s="11"/>
      <c r="Q21" s="11"/>
      <c r="R21" s="11"/>
      <c r="S21" s="11"/>
      <c r="T21" s="11"/>
      <c r="U21" s="11"/>
      <c r="V21" s="11"/>
      <c r="W21" s="11"/>
    </row>
    <row r="22" spans="1:23">
      <c r="A22" s="11"/>
      <c r="B22" s="11"/>
      <c r="C22" s="11"/>
      <c r="D22" s="11"/>
      <c r="E22" s="11"/>
      <c r="F22" s="11"/>
      <c r="G22" s="11"/>
      <c r="H22" s="11"/>
      <c r="I22" s="11"/>
      <c r="J22" s="11"/>
      <c r="K22" s="11"/>
      <c r="L22" s="11"/>
      <c r="M22" s="11"/>
      <c r="N22" s="11"/>
      <c r="O22" s="11"/>
      <c r="P22" s="11"/>
      <c r="Q22" s="11"/>
      <c r="R22" s="11"/>
      <c r="S22" s="11"/>
      <c r="T22" s="11"/>
      <c r="U22" s="11"/>
      <c r="V22" s="11"/>
      <c r="W22" s="11"/>
    </row>
    <row r="23" spans="1:23">
      <c r="A23" s="11"/>
      <c r="B23" s="11"/>
      <c r="C23" s="11"/>
      <c r="D23" s="11"/>
      <c r="E23" s="11"/>
      <c r="F23" s="11"/>
      <c r="G23" s="11"/>
      <c r="H23" s="11"/>
      <c r="I23" s="11"/>
      <c r="J23" s="11"/>
      <c r="K23" s="11"/>
      <c r="L23" s="11"/>
      <c r="M23" s="11"/>
      <c r="N23" s="11"/>
      <c r="O23" s="11"/>
      <c r="P23" s="11"/>
      <c r="Q23" s="11"/>
      <c r="R23" s="11"/>
      <c r="S23" s="11"/>
      <c r="T23" s="11"/>
      <c r="U23" s="11"/>
      <c r="V23" s="11"/>
      <c r="W23" s="11"/>
    </row>
    <row r="24" spans="1:23">
      <c r="A24" s="11"/>
      <c r="B24" s="11"/>
      <c r="C24" s="11"/>
      <c r="D24" s="11"/>
      <c r="E24" s="11"/>
      <c r="F24" s="11"/>
      <c r="G24" s="11"/>
      <c r="H24" s="11"/>
      <c r="I24" s="11"/>
      <c r="J24" s="11"/>
      <c r="K24" s="11"/>
      <c r="L24" s="11"/>
      <c r="M24" s="11"/>
      <c r="N24" s="11"/>
      <c r="O24" s="11"/>
      <c r="P24" s="11"/>
      <c r="Q24" s="11"/>
      <c r="R24" s="11"/>
      <c r="S24" s="11"/>
      <c r="T24" s="11"/>
      <c r="U24" s="11"/>
      <c r="V24" s="11"/>
      <c r="W24" s="11"/>
    </row>
  </sheetData>
  <mergeCells count="2">
    <mergeCell ref="A1:Q1"/>
    <mergeCell ref="A19:W24"/>
  </mergeCells>
  <pageMargins left="0.7" right="0.7"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9"/>
  <sheetViews>
    <sheetView workbookViewId="0">
      <selection activeCell="A3" sqref="A3"/>
    </sheetView>
  </sheetViews>
  <sheetFormatPr defaultColWidth="9" defaultRowHeight="16.8"/>
  <cols>
    <col min="1" max="1" width="20" customWidth="1"/>
    <col min="2" max="12" width="16" customWidth="1"/>
    <col min="13" max="13" width="22" customWidth="1"/>
    <col min="14" max="17" width="16" customWidth="1"/>
  </cols>
  <sheetData>
    <row r="1" ht="23.2" spans="1:17">
      <c r="A1" s="2" t="s">
        <v>652</v>
      </c>
      <c r="B1" s="2"/>
      <c r="C1" s="2"/>
      <c r="D1" s="2"/>
      <c r="E1" s="2"/>
      <c r="F1" s="2"/>
      <c r="G1" s="2"/>
      <c r="H1" s="2"/>
      <c r="I1" s="2"/>
      <c r="J1" s="2"/>
      <c r="K1" s="2"/>
      <c r="L1" s="2"/>
      <c r="M1" s="2"/>
      <c r="N1" s="2"/>
      <c r="O1" s="2"/>
      <c r="P1" s="2"/>
      <c r="Q1" s="2"/>
    </row>
    <row r="2" spans="1:17">
      <c r="A2" s="3"/>
      <c r="B2" s="3"/>
      <c r="C2" s="3"/>
      <c r="D2" s="3"/>
      <c r="E2" s="3"/>
      <c r="F2" s="3"/>
      <c r="G2" s="3"/>
      <c r="H2" s="3"/>
      <c r="I2" s="3"/>
      <c r="J2" s="3"/>
      <c r="K2" s="3"/>
      <c r="L2" s="3"/>
      <c r="M2" s="3"/>
      <c r="N2" s="3"/>
      <c r="O2" s="3"/>
      <c r="P2" s="3"/>
      <c r="Q2" s="3"/>
    </row>
    <row r="3" ht="34" spans="1:17">
      <c r="A3" s="4" t="s">
        <v>213</v>
      </c>
      <c r="B3" s="4" t="s">
        <v>653</v>
      </c>
      <c r="C3" s="4" t="s">
        <v>654</v>
      </c>
      <c r="D3" s="4" t="s">
        <v>655</v>
      </c>
      <c r="E3" s="4" t="s">
        <v>656</v>
      </c>
      <c r="F3" s="4" t="s">
        <v>657</v>
      </c>
      <c r="G3" s="4" t="s">
        <v>658</v>
      </c>
      <c r="H3" s="4" t="s">
        <v>659</v>
      </c>
      <c r="I3" s="4" t="s">
        <v>660</v>
      </c>
      <c r="J3" s="4" t="s">
        <v>661</v>
      </c>
      <c r="K3" s="4" t="s">
        <v>662</v>
      </c>
      <c r="L3" s="4" t="s">
        <v>663</v>
      </c>
      <c r="M3" s="4" t="s">
        <v>664</v>
      </c>
      <c r="N3" s="4" t="s">
        <v>665</v>
      </c>
      <c r="O3" s="4" t="s">
        <v>666</v>
      </c>
      <c r="P3" s="4" t="s">
        <v>667</v>
      </c>
      <c r="Q3" s="4" t="s">
        <v>668</v>
      </c>
    </row>
    <row r="4" ht="17" spans="1:17">
      <c r="A4" s="3" t="str">
        <f>'Meter2 TOU Detail'!A5</f>
        <v>Oct 2023</v>
      </c>
      <c r="B4" s="3">
        <f>'Meter1 TOU Detail'!S5</f>
        <v>32</v>
      </c>
      <c r="C4" s="5">
        <f>'Meter1 TOU Detail'!T5</f>
        <v>506.81</v>
      </c>
      <c r="D4" s="5">
        <f t="shared" ref="D4:D15" si="0">IFERROR(C4/B4,0)</f>
        <v>15.8378125</v>
      </c>
      <c r="E4" s="3">
        <f>MAX('Meter1 TOU Detail'!U5,'Meter1 TOU Detail'!W5)</f>
        <v>24</v>
      </c>
      <c r="F4" s="5">
        <f>'Meter1 TOU Detail'!V5+'Meter1 TOU Detail'!X5</f>
        <v>107.17</v>
      </c>
      <c r="G4" s="5">
        <f t="shared" ref="G4:G15" si="1">IFERROR(F4/E4,0)</f>
        <v>4.46541666666667</v>
      </c>
      <c r="H4" s="3">
        <f>'Meter2 TOU Detail'!S5</f>
        <v>552</v>
      </c>
      <c r="I4" s="5">
        <f>'Meter2 TOU Detail'!T5</f>
        <v>12811.13</v>
      </c>
      <c r="J4" s="5">
        <f t="shared" ref="J4:J15" si="2">IFERROR(I4/H4,0)</f>
        <v>23.2085688405797</v>
      </c>
      <c r="K4" s="3">
        <f>MAX('Meter2 TOU Detail'!U5,'Meter2 TOU Detail'!W5)</f>
        <v>142</v>
      </c>
      <c r="L4" s="5">
        <f>'Meter2 TOU Detail'!V5+'Meter2 TOU Detail'!X5</f>
        <v>805.13</v>
      </c>
      <c r="M4" s="5">
        <f t="shared" ref="M4:M15" si="3">IFERROR(L4/K4,0)</f>
        <v>5.66992957746479</v>
      </c>
      <c r="N4" s="3">
        <f t="shared" ref="N4:N15" si="4">$B$20</f>
        <v>100</v>
      </c>
      <c r="O4" s="5">
        <f t="shared" ref="O4:O15" si="5">MIN(N4,H4)*J4</f>
        <v>2320.85688405797</v>
      </c>
      <c r="P4" s="5">
        <f t="shared" ref="P4:P15" si="6">MIN(N4,K4)*M4</f>
        <v>566.992957746479</v>
      </c>
      <c r="Q4" s="5">
        <f t="shared" ref="Q4:Q15" si="7">O4+P4</f>
        <v>2887.84984180445</v>
      </c>
    </row>
    <row r="5" ht="17" spans="1:17">
      <c r="A5" s="3" t="str">
        <f>'Meter2 TOU Detail'!A6</f>
        <v>Nov 2023</v>
      </c>
      <c r="B5" s="3">
        <f>'Meter1 TOU Detail'!S6</f>
        <v>39</v>
      </c>
      <c r="C5" s="5">
        <f>'Meter1 TOU Detail'!T6</f>
        <v>562.14</v>
      </c>
      <c r="D5" s="5">
        <f t="shared" si="0"/>
        <v>14.4138461538462</v>
      </c>
      <c r="E5" s="3">
        <f>MAX('Meter1 TOU Detail'!U6,'Meter1 TOU Detail'!W6)</f>
        <v>24</v>
      </c>
      <c r="F5" s="5">
        <f>'Meter1 TOU Detail'!V6+'Meter1 TOU Detail'!X6</f>
        <v>74.64</v>
      </c>
      <c r="G5" s="5">
        <f t="shared" si="1"/>
        <v>3.11</v>
      </c>
      <c r="H5" s="3">
        <f>'Meter2 TOU Detail'!S6</f>
        <v>622</v>
      </c>
      <c r="I5" s="5">
        <f>'Meter2 TOU Detail'!T6</f>
        <v>14032.88</v>
      </c>
      <c r="J5" s="5">
        <f t="shared" si="2"/>
        <v>22.5609003215434</v>
      </c>
      <c r="K5" s="3">
        <f>MAX('Meter2 TOU Detail'!U6,'Meter2 TOU Detail'!W6)</f>
        <v>47</v>
      </c>
      <c r="L5" s="5">
        <f>'Meter2 TOU Detail'!V6+'Meter2 TOU Detail'!X6</f>
        <v>367.54</v>
      </c>
      <c r="M5" s="5">
        <f t="shared" si="3"/>
        <v>7.82</v>
      </c>
      <c r="N5" s="3">
        <f t="shared" si="4"/>
        <v>100</v>
      </c>
      <c r="O5" s="5">
        <f t="shared" si="5"/>
        <v>2256.09003215434</v>
      </c>
      <c r="P5" s="5">
        <f t="shared" si="6"/>
        <v>367.54</v>
      </c>
      <c r="Q5" s="5">
        <f t="shared" si="7"/>
        <v>2623.63003215434</v>
      </c>
    </row>
    <row r="6" ht="17" spans="1:17">
      <c r="A6" s="3" t="str">
        <f>'Meter2 TOU Detail'!A7</f>
        <v>Dec 2023</v>
      </c>
      <c r="B6" s="3">
        <f>'Meter1 TOU Detail'!S7</f>
        <v>43</v>
      </c>
      <c r="C6" s="5">
        <f>'Meter1 TOU Detail'!T7</f>
        <v>618.36</v>
      </c>
      <c r="D6" s="5">
        <f t="shared" si="0"/>
        <v>14.3804651162791</v>
      </c>
      <c r="E6" s="3">
        <f>MAX('Meter1 TOU Detail'!U7,'Meter1 TOU Detail'!W7)</f>
        <v>26</v>
      </c>
      <c r="F6" s="5">
        <f>'Meter1 TOU Detail'!V7+'Meter1 TOU Detail'!X7</f>
        <v>80.86</v>
      </c>
      <c r="G6" s="5">
        <f t="shared" si="1"/>
        <v>3.11</v>
      </c>
      <c r="H6" s="3">
        <f>'Meter2 TOU Detail'!S7</f>
        <v>513</v>
      </c>
      <c r="I6" s="5">
        <f>'Meter2 TOU Detail'!T7</f>
        <v>12169.91</v>
      </c>
      <c r="J6" s="5">
        <f t="shared" si="2"/>
        <v>23.7230214424951</v>
      </c>
      <c r="K6" s="3">
        <f>MAX('Meter2 TOU Detail'!U7,'Meter2 TOU Detail'!W7)</f>
        <v>115</v>
      </c>
      <c r="L6" s="5">
        <f>'Meter2 TOU Detail'!V7+'Meter2 TOU Detail'!X7</f>
        <v>899.3</v>
      </c>
      <c r="M6" s="5">
        <f t="shared" si="3"/>
        <v>7.82</v>
      </c>
      <c r="N6" s="3">
        <f t="shared" si="4"/>
        <v>100</v>
      </c>
      <c r="O6" s="5">
        <f t="shared" si="5"/>
        <v>2372.30214424951</v>
      </c>
      <c r="P6" s="5">
        <f t="shared" si="6"/>
        <v>782</v>
      </c>
      <c r="Q6" s="5">
        <f t="shared" si="7"/>
        <v>3154.30214424951</v>
      </c>
    </row>
    <row r="7" ht="17" spans="1:17">
      <c r="A7" s="3" t="str">
        <f>'Meter2 TOU Detail'!A8</f>
        <v>Jan 2024</v>
      </c>
      <c r="B7" s="3">
        <f>'Meter1 TOU Detail'!S8</f>
        <v>44</v>
      </c>
      <c r="C7" s="5">
        <f>'Meter1 TOU Detail'!T8</f>
        <v>628.02</v>
      </c>
      <c r="D7" s="5">
        <f t="shared" si="0"/>
        <v>14.2731818181818</v>
      </c>
      <c r="E7" s="3">
        <f>MAX('Meter1 TOU Detail'!U8,'Meter1 TOU Detail'!W8)</f>
        <v>24</v>
      </c>
      <c r="F7" s="5">
        <f>'Meter1 TOU Detail'!V8+'Meter1 TOU Detail'!X8</f>
        <v>69.9</v>
      </c>
      <c r="G7" s="5">
        <f t="shared" si="1"/>
        <v>2.9125</v>
      </c>
      <c r="H7" s="3">
        <f>'Meter2 TOU Detail'!S8</f>
        <v>655</v>
      </c>
      <c r="I7" s="5">
        <f>'Meter2 TOU Detail'!T8</f>
        <v>15251.57</v>
      </c>
      <c r="J7" s="5">
        <f t="shared" si="2"/>
        <v>23.2848396946565</v>
      </c>
      <c r="K7" s="3">
        <f>MAX('Meter2 TOU Detail'!U8,'Meter2 TOU Detail'!W8)</f>
        <v>43</v>
      </c>
      <c r="L7" s="5">
        <f>'Meter2 TOU Detail'!V8+'Meter2 TOU Detail'!X8</f>
        <v>315.19</v>
      </c>
      <c r="M7" s="5">
        <f t="shared" si="3"/>
        <v>7.33</v>
      </c>
      <c r="N7" s="3">
        <f t="shared" si="4"/>
        <v>100</v>
      </c>
      <c r="O7" s="5">
        <f t="shared" si="5"/>
        <v>2328.48396946565</v>
      </c>
      <c r="P7" s="5">
        <f t="shared" si="6"/>
        <v>315.19</v>
      </c>
      <c r="Q7" s="5">
        <f t="shared" si="7"/>
        <v>2643.67396946565</v>
      </c>
    </row>
    <row r="8" ht="17" spans="1:17">
      <c r="A8" s="3" t="str">
        <f>'Meter2 TOU Detail'!A9</f>
        <v>Feb 2024</v>
      </c>
      <c r="B8" s="3">
        <f>'Meter1 TOU Detail'!S9</f>
        <v>46</v>
      </c>
      <c r="C8" s="5">
        <f>'Meter1 TOU Detail'!T9</f>
        <v>663.94</v>
      </c>
      <c r="D8" s="5">
        <f t="shared" si="0"/>
        <v>14.4334782608696</v>
      </c>
      <c r="E8" s="3">
        <f>MAX('Meter1 TOU Detail'!U9,'Meter1 TOU Detail'!W9)</f>
        <v>27</v>
      </c>
      <c r="F8" s="5">
        <f>'Meter1 TOU Detail'!V9+'Meter1 TOU Detail'!X9</f>
        <v>75.6</v>
      </c>
      <c r="G8" s="5">
        <f t="shared" si="1"/>
        <v>2.8</v>
      </c>
      <c r="H8" s="3">
        <f>'Meter2 TOU Detail'!S9</f>
        <v>640</v>
      </c>
      <c r="I8" s="5">
        <f>'Meter2 TOU Detail'!T9</f>
        <v>15223.5</v>
      </c>
      <c r="J8" s="5">
        <f t="shared" si="2"/>
        <v>23.78671875</v>
      </c>
      <c r="K8" s="3">
        <f>MAX('Meter2 TOU Detail'!U9,'Meter2 TOU Detail'!W9)</f>
        <v>46</v>
      </c>
      <c r="L8" s="5">
        <f>'Meter2 TOU Detail'!V9+'Meter2 TOU Detail'!X9</f>
        <v>324.3</v>
      </c>
      <c r="M8" s="5">
        <f t="shared" si="3"/>
        <v>7.05</v>
      </c>
      <c r="N8" s="3">
        <f t="shared" si="4"/>
        <v>100</v>
      </c>
      <c r="O8" s="5">
        <f t="shared" si="5"/>
        <v>2378.671875</v>
      </c>
      <c r="P8" s="5">
        <f t="shared" si="6"/>
        <v>324.3</v>
      </c>
      <c r="Q8" s="5">
        <f t="shared" si="7"/>
        <v>2702.971875</v>
      </c>
    </row>
    <row r="9" ht="17" spans="1:17">
      <c r="A9" s="3" t="str">
        <f>'Meter2 TOU Detail'!A10</f>
        <v>Mar 2024</v>
      </c>
      <c r="B9" s="3">
        <f>'Meter1 TOU Detail'!S10</f>
        <v>36</v>
      </c>
      <c r="C9" s="5">
        <f>'Meter1 TOU Detail'!T10</f>
        <v>510.71</v>
      </c>
      <c r="D9" s="5">
        <f t="shared" si="0"/>
        <v>14.1863888888889</v>
      </c>
      <c r="E9" s="3">
        <f>MAX('Meter1 TOU Detail'!U10,'Meter1 TOU Detail'!W10)</f>
        <v>16</v>
      </c>
      <c r="F9" s="5">
        <f>'Meter1 TOU Detail'!V10+'Meter1 TOU Detail'!X10</f>
        <v>44.8</v>
      </c>
      <c r="G9" s="5">
        <f t="shared" si="1"/>
        <v>2.8</v>
      </c>
      <c r="H9" s="3">
        <f>'Meter2 TOU Detail'!S10</f>
        <v>500</v>
      </c>
      <c r="I9" s="5">
        <f>'Meter2 TOU Detail'!T10</f>
        <v>12987.94</v>
      </c>
      <c r="J9" s="5">
        <f t="shared" si="2"/>
        <v>25.97588</v>
      </c>
      <c r="K9" s="3">
        <f>MAX('Meter2 TOU Detail'!U10,'Meter2 TOU Detail'!W10)</f>
        <v>170</v>
      </c>
      <c r="L9" s="5">
        <f>'Meter2 TOU Detail'!V10+'Meter2 TOU Detail'!X10</f>
        <v>1199.67</v>
      </c>
      <c r="M9" s="5">
        <f t="shared" si="3"/>
        <v>7.05688235294118</v>
      </c>
      <c r="N9" s="3">
        <f t="shared" si="4"/>
        <v>100</v>
      </c>
      <c r="O9" s="5">
        <f t="shared" si="5"/>
        <v>2597.588</v>
      </c>
      <c r="P9" s="5">
        <f t="shared" si="6"/>
        <v>705.688235294118</v>
      </c>
      <c r="Q9" s="5">
        <f t="shared" si="7"/>
        <v>3303.27623529412</v>
      </c>
    </row>
    <row r="10" ht="17" spans="1:17">
      <c r="A10" s="3" t="str">
        <f>'Meter2 TOU Detail'!A11</f>
        <v>Apr 2024</v>
      </c>
      <c r="B10" s="3">
        <f>'Meter1 TOU Detail'!S11</f>
        <v>28</v>
      </c>
      <c r="C10" s="5">
        <f>'Meter1 TOU Detail'!T11</f>
        <v>420.28</v>
      </c>
      <c r="D10" s="5">
        <f t="shared" si="0"/>
        <v>15.01</v>
      </c>
      <c r="E10" s="3">
        <f>MAX('Meter1 TOU Detail'!U11,'Meter1 TOU Detail'!W11)</f>
        <v>20</v>
      </c>
      <c r="F10" s="5">
        <f>'Meter1 TOU Detail'!V11+'Meter1 TOU Detail'!X11</f>
        <v>56</v>
      </c>
      <c r="G10" s="5">
        <f t="shared" si="1"/>
        <v>2.8</v>
      </c>
      <c r="H10" s="3">
        <f>'Meter2 TOU Detail'!S11</f>
        <v>442</v>
      </c>
      <c r="I10" s="5">
        <f>'Meter2 TOU Detail'!T11</f>
        <v>11164.64</v>
      </c>
      <c r="J10" s="5">
        <f t="shared" si="2"/>
        <v>25.2593665158371</v>
      </c>
      <c r="K10" s="3">
        <f>MAX('Meter2 TOU Detail'!U11,'Meter2 TOU Detail'!W11)</f>
        <v>97</v>
      </c>
      <c r="L10" s="5">
        <f>'Meter2 TOU Detail'!V11+'Meter2 TOU Detail'!X11</f>
        <v>684.82</v>
      </c>
      <c r="M10" s="5">
        <f t="shared" si="3"/>
        <v>7.06</v>
      </c>
      <c r="N10" s="3">
        <f t="shared" si="4"/>
        <v>100</v>
      </c>
      <c r="O10" s="5">
        <f t="shared" si="5"/>
        <v>2525.93665158371</v>
      </c>
      <c r="P10" s="5">
        <f t="shared" si="6"/>
        <v>684.82</v>
      </c>
      <c r="Q10" s="5">
        <f t="shared" si="7"/>
        <v>3210.75665158371</v>
      </c>
    </row>
    <row r="11" ht="17" spans="1:17">
      <c r="A11" s="3" t="str">
        <f>'Meter2 TOU Detail'!A12</f>
        <v>May 2024</v>
      </c>
      <c r="B11" s="3">
        <f>'Meter1 TOU Detail'!S12</f>
        <v>34.5</v>
      </c>
      <c r="C11" s="5">
        <f>'Meter1 TOU Detail'!T12</f>
        <v>553.21</v>
      </c>
      <c r="D11" s="5">
        <f t="shared" si="0"/>
        <v>16.0350724637681</v>
      </c>
      <c r="E11" s="3">
        <f>MAX('Meter1 TOU Detail'!U12,'Meter1 TOU Detail'!W12)</f>
        <v>29</v>
      </c>
      <c r="F11" s="5">
        <f>'Meter1 TOU Detail'!V12+'Meter1 TOU Detail'!X12</f>
        <v>179.97</v>
      </c>
      <c r="G11" s="5">
        <f t="shared" si="1"/>
        <v>6.20586206896552</v>
      </c>
      <c r="H11" s="3">
        <f>'Meter2 TOU Detail'!S12</f>
        <v>466</v>
      </c>
      <c r="I11" s="5">
        <f>'Meter2 TOU Detail'!T12</f>
        <v>11641.9</v>
      </c>
      <c r="J11" s="5">
        <f t="shared" si="2"/>
        <v>24.9826180257511</v>
      </c>
      <c r="K11" s="3">
        <f>MAX('Meter2 TOU Detail'!U12,'Meter2 TOU Detail'!W12)</f>
        <v>84</v>
      </c>
      <c r="L11" s="5">
        <f>'Meter2 TOU Detail'!V12+'Meter2 TOU Detail'!X12</f>
        <v>593.04</v>
      </c>
      <c r="M11" s="5">
        <f t="shared" si="3"/>
        <v>7.06</v>
      </c>
      <c r="N11" s="3">
        <f t="shared" si="4"/>
        <v>100</v>
      </c>
      <c r="O11" s="5">
        <f t="shared" si="5"/>
        <v>2498.26180257511</v>
      </c>
      <c r="P11" s="5">
        <f t="shared" si="6"/>
        <v>593.04</v>
      </c>
      <c r="Q11" s="5">
        <f t="shared" si="7"/>
        <v>3091.30180257511</v>
      </c>
    </row>
    <row r="12" ht="17" spans="1:17">
      <c r="A12" s="3" t="str">
        <f>'Meter2 TOU Detail'!A13</f>
        <v>Jun 2024</v>
      </c>
      <c r="B12" s="3">
        <f>'Meter1 TOU Detail'!S13</f>
        <v>41</v>
      </c>
      <c r="C12" s="5">
        <f>'Meter1 TOU Detail'!T13</f>
        <v>686.14</v>
      </c>
      <c r="D12" s="5">
        <f t="shared" si="0"/>
        <v>16.7351219512195</v>
      </c>
      <c r="E12" s="3">
        <f>MAX('Meter1 TOU Detail'!U13,'Meter1 TOU Detail'!W13)</f>
        <v>29</v>
      </c>
      <c r="F12" s="5">
        <f>'Meter1 TOU Detail'!V13+'Meter1 TOU Detail'!X13</f>
        <v>150.66</v>
      </c>
      <c r="G12" s="5">
        <f t="shared" si="1"/>
        <v>5.1951724137931</v>
      </c>
      <c r="H12" s="3">
        <f>'Meter2 TOU Detail'!S13</f>
        <v>471</v>
      </c>
      <c r="I12" s="5">
        <f>'Meter2 TOU Detail'!T13</f>
        <v>11775.4</v>
      </c>
      <c r="J12" s="5">
        <f t="shared" si="2"/>
        <v>25.0008492569002</v>
      </c>
      <c r="K12" s="3">
        <f>MAX('Meter2 TOU Detail'!U13,'Meter2 TOU Detail'!W13)</f>
        <v>36</v>
      </c>
      <c r="L12" s="5">
        <f>'Meter2 TOU Detail'!V13+'Meter2 TOU Detail'!X13</f>
        <v>539.38</v>
      </c>
      <c r="M12" s="5">
        <f t="shared" si="3"/>
        <v>14.9827777777778</v>
      </c>
      <c r="N12" s="3">
        <f t="shared" si="4"/>
        <v>100</v>
      </c>
      <c r="O12" s="5">
        <f t="shared" si="5"/>
        <v>2500.08492569002</v>
      </c>
      <c r="P12" s="5">
        <f t="shared" si="6"/>
        <v>539.38</v>
      </c>
      <c r="Q12" s="5">
        <f t="shared" si="7"/>
        <v>3039.46492569002</v>
      </c>
    </row>
    <row r="13" ht="17" spans="1:17">
      <c r="A13" s="3" t="str">
        <f>'Meter2 TOU Detail'!A14</f>
        <v>Jul 2024</v>
      </c>
      <c r="B13" s="3">
        <f>'Meter1 TOU Detail'!S14</f>
        <v>51</v>
      </c>
      <c r="C13" s="5">
        <f>'Meter1 TOU Detail'!T14</f>
        <v>944.34</v>
      </c>
      <c r="D13" s="5">
        <f t="shared" si="0"/>
        <v>18.5164705882353</v>
      </c>
      <c r="E13" s="3">
        <f>MAX('Meter1 TOU Detail'!U14,'Meter1 TOU Detail'!W14)</f>
        <v>41</v>
      </c>
      <c r="F13" s="5">
        <f>'Meter1 TOU Detail'!V14+'Meter1 TOU Detail'!X14</f>
        <v>276.75</v>
      </c>
      <c r="G13" s="5">
        <f t="shared" si="1"/>
        <v>6.75</v>
      </c>
      <c r="H13" s="3">
        <f>'Meter2 TOU Detail'!S14</f>
        <v>725</v>
      </c>
      <c r="I13" s="5">
        <f>'Meter2 TOU Detail'!T14</f>
        <v>18496</v>
      </c>
      <c r="J13" s="5">
        <f t="shared" si="2"/>
        <v>25.511724137931</v>
      </c>
      <c r="K13" s="3">
        <f>MAX('Meter2 TOU Detail'!U14,'Meter2 TOU Detail'!W14)</f>
        <v>53</v>
      </c>
      <c r="L13" s="5">
        <f>'Meter2 TOU Detail'!V14+'Meter2 TOU Detail'!X14</f>
        <v>1139.5</v>
      </c>
      <c r="M13" s="5">
        <f t="shared" si="3"/>
        <v>21.5</v>
      </c>
      <c r="N13" s="3">
        <f t="shared" si="4"/>
        <v>100</v>
      </c>
      <c r="O13" s="5">
        <f t="shared" si="5"/>
        <v>2551.1724137931</v>
      </c>
      <c r="P13" s="5">
        <f t="shared" si="6"/>
        <v>1139.5</v>
      </c>
      <c r="Q13" s="5">
        <f t="shared" si="7"/>
        <v>3690.6724137931</v>
      </c>
    </row>
    <row r="14" ht="17" spans="1:17">
      <c r="A14" s="3" t="str">
        <f>'Meter2 TOU Detail'!A15</f>
        <v>Aug 2024</v>
      </c>
      <c r="B14" s="3">
        <f>'Meter1 TOU Detail'!S15</f>
        <v>50</v>
      </c>
      <c r="C14" s="5">
        <f>'Meter1 TOU Detail'!T15</f>
        <v>931.25</v>
      </c>
      <c r="D14" s="5">
        <f t="shared" si="0"/>
        <v>18.625</v>
      </c>
      <c r="E14" s="3">
        <f>MAX('Meter1 TOU Detail'!U15,'Meter1 TOU Detail'!W15)</f>
        <v>41</v>
      </c>
      <c r="F14" s="5">
        <f>'Meter1 TOU Detail'!V15+'Meter1 TOU Detail'!X15</f>
        <v>276.75</v>
      </c>
      <c r="G14" s="5">
        <f t="shared" si="1"/>
        <v>6.75</v>
      </c>
      <c r="H14" s="3">
        <f>'Meter2 TOU Detail'!S15</f>
        <v>705</v>
      </c>
      <c r="I14" s="5">
        <f>'Meter2 TOU Detail'!T15</f>
        <v>18490.2</v>
      </c>
      <c r="J14" s="5">
        <f t="shared" si="2"/>
        <v>26.2272340425532</v>
      </c>
      <c r="K14" s="3">
        <f>MAX('Meter2 TOU Detail'!U15,'Meter2 TOU Detail'!W15)</f>
        <v>75</v>
      </c>
      <c r="L14" s="5">
        <f>'Meter2 TOU Detail'!V15+'Meter2 TOU Detail'!X15</f>
        <v>1612.5</v>
      </c>
      <c r="M14" s="5">
        <f t="shared" si="3"/>
        <v>21.5</v>
      </c>
      <c r="N14" s="3">
        <f t="shared" si="4"/>
        <v>100</v>
      </c>
      <c r="O14" s="5">
        <f t="shared" si="5"/>
        <v>2622.72340425532</v>
      </c>
      <c r="P14" s="5">
        <f t="shared" si="6"/>
        <v>1612.5</v>
      </c>
      <c r="Q14" s="5">
        <f t="shared" si="7"/>
        <v>4235.22340425532</v>
      </c>
    </row>
    <row r="15" ht="17" spans="1:17">
      <c r="A15" s="3" t="str">
        <f>'Meter2 TOU Detail'!A16</f>
        <v>Sep 2024</v>
      </c>
      <c r="B15" s="3">
        <f>'Meter1 TOU Detail'!S16</f>
        <v>47</v>
      </c>
      <c r="C15" s="5">
        <f>'Meter1 TOU Detail'!T16</f>
        <v>804.23</v>
      </c>
      <c r="D15" s="5">
        <f t="shared" si="0"/>
        <v>17.1112765957447</v>
      </c>
      <c r="E15" s="3">
        <f>MAX('Meter1 TOU Detail'!U16,'Meter1 TOU Detail'!W16)</f>
        <v>28</v>
      </c>
      <c r="F15" s="5">
        <f>'Meter1 TOU Detail'!V16+'Meter1 TOU Detail'!X16</f>
        <v>189</v>
      </c>
      <c r="G15" s="5">
        <f t="shared" si="1"/>
        <v>6.75</v>
      </c>
      <c r="H15" s="3">
        <f>'Meter2 TOU Detail'!S16</f>
        <v>730</v>
      </c>
      <c r="I15" s="5">
        <f>'Meter2 TOU Detail'!T16</f>
        <v>19583.2</v>
      </c>
      <c r="J15" s="5">
        <f t="shared" si="2"/>
        <v>26.826301369863</v>
      </c>
      <c r="K15" s="3">
        <f>MAX('Meter2 TOU Detail'!U16,'Meter2 TOU Detail'!W16)</f>
        <v>98</v>
      </c>
      <c r="L15" s="5">
        <f>'Meter2 TOU Detail'!V16+'Meter2 TOU Detail'!X16</f>
        <v>2107</v>
      </c>
      <c r="M15" s="5">
        <f t="shared" si="3"/>
        <v>21.5</v>
      </c>
      <c r="N15" s="3">
        <f t="shared" si="4"/>
        <v>100</v>
      </c>
      <c r="O15" s="5">
        <f t="shared" si="5"/>
        <v>2682.6301369863</v>
      </c>
      <c r="P15" s="5">
        <f t="shared" si="6"/>
        <v>2107</v>
      </c>
      <c r="Q15" s="5">
        <f t="shared" si="7"/>
        <v>4789.6301369863</v>
      </c>
    </row>
    <row r="16" ht="17" spans="1:17">
      <c r="A16" s="3" t="s">
        <v>669</v>
      </c>
      <c r="B16" s="3">
        <f>MAX(B4:B15)</f>
        <v>51</v>
      </c>
      <c r="C16" s="5">
        <f>SUM(C4:C15)</f>
        <v>7829.43</v>
      </c>
      <c r="D16" s="5"/>
      <c r="E16" s="3">
        <f>MAX(E4:E15)</f>
        <v>41</v>
      </c>
      <c r="F16" s="5">
        <f>SUM(F4:F15)</f>
        <v>1582.1</v>
      </c>
      <c r="G16" s="5"/>
      <c r="H16" s="3">
        <f>MAX(H4:H15)</f>
        <v>730</v>
      </c>
      <c r="I16" s="5">
        <f>SUM(I4:I15)</f>
        <v>173628.27</v>
      </c>
      <c r="J16" s="5"/>
      <c r="K16" s="3">
        <f>MAX(K4:K15)</f>
        <v>170</v>
      </c>
      <c r="L16" s="5">
        <f>SUM(L4:L15)</f>
        <v>10587.37</v>
      </c>
      <c r="M16" s="5"/>
      <c r="N16" s="3"/>
      <c r="O16" s="5">
        <f>SUM(O4:O15)</f>
        <v>29634.802239811</v>
      </c>
      <c r="P16" s="5">
        <f>SUM(P4:P15)</f>
        <v>9737.9511930406</v>
      </c>
      <c r="Q16" s="5">
        <f>SUM(Q4:Q15)</f>
        <v>39372.7534328516</v>
      </c>
    </row>
    <row r="17" spans="1:17">
      <c r="A17" s="3"/>
      <c r="B17" s="3"/>
      <c r="C17" s="3"/>
      <c r="D17" s="3"/>
      <c r="E17" s="3"/>
      <c r="F17" s="3"/>
      <c r="G17" s="3"/>
      <c r="H17" s="3"/>
      <c r="I17" s="3"/>
      <c r="J17" s="3"/>
      <c r="K17" s="3"/>
      <c r="L17" s="3"/>
      <c r="M17" s="3"/>
      <c r="N17" s="3"/>
      <c r="O17" s="3"/>
      <c r="P17" s="3"/>
      <c r="Q17" s="3"/>
    </row>
    <row r="18" spans="1:17">
      <c r="A18" s="3"/>
      <c r="B18" s="3"/>
      <c r="C18" s="3"/>
      <c r="D18" s="3"/>
      <c r="E18" s="3"/>
      <c r="F18" s="3"/>
      <c r="G18" s="3"/>
      <c r="H18" s="3"/>
      <c r="I18" s="3"/>
      <c r="J18" s="3"/>
      <c r="K18" s="3"/>
      <c r="L18" s="3"/>
      <c r="M18" s="3"/>
      <c r="N18" s="3"/>
      <c r="O18" s="3"/>
      <c r="P18" s="3"/>
      <c r="Q18" s="3"/>
    </row>
    <row r="19" ht="34" spans="1:17">
      <c r="A19" s="6" t="s">
        <v>670</v>
      </c>
      <c r="B19" s="6" t="s">
        <v>131</v>
      </c>
      <c r="C19" s="6" t="s">
        <v>132</v>
      </c>
      <c r="D19" s="6" t="s">
        <v>473</v>
      </c>
      <c r="E19" s="6" t="s">
        <v>133</v>
      </c>
      <c r="F19" s="6" t="s">
        <v>671</v>
      </c>
      <c r="G19" s="3"/>
      <c r="H19" s="6" t="s">
        <v>240</v>
      </c>
      <c r="I19" s="6" t="s">
        <v>629</v>
      </c>
      <c r="J19" s="6" t="s">
        <v>672</v>
      </c>
      <c r="K19" s="6" t="s">
        <v>673</v>
      </c>
      <c r="L19" s="6" t="s">
        <v>674</v>
      </c>
      <c r="M19" s="6" t="s">
        <v>675</v>
      </c>
      <c r="N19" s="3"/>
      <c r="O19" s="3"/>
      <c r="P19" s="3"/>
      <c r="Q19" s="3"/>
    </row>
    <row r="20" ht="51" spans="1:17">
      <c r="A20" s="3" t="s">
        <v>676</v>
      </c>
      <c r="B20" s="3">
        <v>100</v>
      </c>
      <c r="C20" s="3" t="s">
        <v>677</v>
      </c>
      <c r="D20" s="3" t="s">
        <v>678</v>
      </c>
      <c r="E20" s="3" t="s">
        <v>679</v>
      </c>
      <c r="F20" s="3" t="s">
        <v>680</v>
      </c>
      <c r="G20" s="3"/>
      <c r="H20" s="3" t="s">
        <v>681</v>
      </c>
      <c r="I20" s="3">
        <v>50</v>
      </c>
      <c r="J20" s="5">
        <f>SUM(MIN(I20,H4)*J4,MIN(I20,H5)*J5,MIN(I20,H6)*J6,MIN(I20,H7)*J7,MIN(I20,H8)*J8,MIN(I20,H9)*J9,MIN(I20,H10)*J10,MIN(I20,H11)*J11,MIN(I20,H12)*J12,MIN(I20,H13)*J13,MIN(I20,H14)*J14,MIN(I20,H15)*J15)</f>
        <v>14817.4011199055</v>
      </c>
      <c r="K20" s="5">
        <f>SUM(MIN(I20,K4)*M4,MIN(I20,K5)*M5,MIN(I20,K6)*M6,MIN(I20,K7)*M7,MIN(I20,K8)*M8,MIN(I20,K9)*M9,MIN(I20,K10)*M10,MIN(I20,K11)*M11,MIN(I20,K12)*M12,MIN(I20,K13)*M13,MIN(I20,K14)*M14,MIN(I20,K15)*M15)</f>
        <v>6504.7505965203</v>
      </c>
      <c r="L20" s="5">
        <f>J20+K20</f>
        <v>21322.1517164258</v>
      </c>
      <c r="M20" s="3" t="s">
        <v>682</v>
      </c>
      <c r="N20" s="3"/>
      <c r="O20" s="3"/>
      <c r="P20" s="3"/>
      <c r="Q20" s="3"/>
    </row>
    <row r="21" ht="34" spans="1:17">
      <c r="A21" s="3" t="s">
        <v>683</v>
      </c>
      <c r="B21" s="3">
        <v>215.04</v>
      </c>
      <c r="C21" s="3" t="s">
        <v>677</v>
      </c>
      <c r="D21" s="3" t="s">
        <v>684</v>
      </c>
      <c r="E21" s="3" t="s">
        <v>685</v>
      </c>
      <c r="F21" s="3" t="s">
        <v>686</v>
      </c>
      <c r="G21" s="3"/>
      <c r="H21" s="3" t="s">
        <v>687</v>
      </c>
      <c r="I21" s="3">
        <v>100</v>
      </c>
      <c r="J21" s="5">
        <f>SUM(MIN(I21,H4)*J4,MIN(I21,H5)*J5,MIN(I21,H6)*J6,MIN(I21,H7)*J7,MIN(I21,H8)*J8,MIN(I21,H9)*J9,MIN(I21,H10)*J10,MIN(I21,H11)*J11,MIN(I21,H12)*J12,MIN(I21,H13)*J13,MIN(I21,H14)*J14,MIN(I21,H15)*J15)</f>
        <v>29634.802239811</v>
      </c>
      <c r="K21" s="5">
        <f>SUM(MIN(I21,K4)*M4,MIN(I21,K5)*M5,MIN(I21,K6)*M6,MIN(I21,K7)*M7,MIN(I21,K8)*M8,MIN(I21,K9)*M9,MIN(I21,K10)*M10,MIN(I21,K11)*M11,MIN(I21,K12)*M12,MIN(I21,K13)*M13,MIN(I21,K14)*M14,MIN(I21,K15)*M15)</f>
        <v>9737.9511930406</v>
      </c>
      <c r="L21" s="5">
        <f>J21+K21</f>
        <v>39372.7534328516</v>
      </c>
      <c r="M21" s="3" t="s">
        <v>688</v>
      </c>
      <c r="N21" s="3"/>
      <c r="O21" s="3"/>
      <c r="P21" s="3"/>
      <c r="Q21" s="3"/>
    </row>
    <row r="22" ht="34" spans="1:17">
      <c r="A22" s="3" t="s">
        <v>689</v>
      </c>
      <c r="B22" s="3">
        <v>367.7184</v>
      </c>
      <c r="C22" s="3" t="s">
        <v>690</v>
      </c>
      <c r="D22" s="3" t="s">
        <v>691</v>
      </c>
      <c r="E22" s="3" t="s">
        <v>692</v>
      </c>
      <c r="F22" s="3" t="s">
        <v>693</v>
      </c>
      <c r="G22" s="3"/>
      <c r="H22" s="3" t="s">
        <v>694</v>
      </c>
      <c r="I22" s="3">
        <v>122.5728</v>
      </c>
      <c r="J22" s="5">
        <f>SUM(MIN(I22,H4)*J4,MIN(I22,H5)*J5,MIN(I22,H6)*J6,MIN(I22,H7)*J7,MIN(I22,H8)*J8,MIN(I22,H9)*J9,MIN(I22,H10)*J10,MIN(I22,H11)*J11,MIN(I22,H12)*J12,MIN(I22,H13)*J13,MIN(I22,H14)*J14,MIN(I22,H15)*J15)</f>
        <v>36324.2068797991</v>
      </c>
      <c r="K22" s="5">
        <f>SUM(MIN(I22,K4)*M4,MIN(I22,K5)*M5,MIN(I22,K6)*M6,MIN(I22,K7)*M7,MIN(I22,K8)*M8,MIN(I22,K9)*M9,MIN(I22,K10)*M10,MIN(I22,K11)*M11,MIN(I22,K12)*M12,MIN(I22,K13)*M13,MIN(I22,K14)*M14,MIN(I22,K15)*M15)</f>
        <v>10142.5309733833</v>
      </c>
      <c r="L22" s="5">
        <f>J22+K22</f>
        <v>46466.7378531824</v>
      </c>
      <c r="M22" s="3" t="s">
        <v>695</v>
      </c>
      <c r="N22" s="3"/>
      <c r="O22" s="3"/>
      <c r="P22" s="3"/>
      <c r="Q22" s="3"/>
    </row>
    <row r="23" ht="34" spans="1:17">
      <c r="A23" s="3" t="s">
        <v>696</v>
      </c>
      <c r="B23" s="3">
        <f>MIN(B21,B22/1)</f>
        <v>215.04</v>
      </c>
      <c r="C23" s="3" t="s">
        <v>677</v>
      </c>
      <c r="D23" s="3" t="s">
        <v>697</v>
      </c>
      <c r="E23" s="3" t="s">
        <v>698</v>
      </c>
      <c r="F23" s="3" t="s">
        <v>699</v>
      </c>
      <c r="G23" s="3"/>
      <c r="H23" s="3" t="s">
        <v>700</v>
      </c>
      <c r="I23" s="3">
        <v>183.8592</v>
      </c>
      <c r="J23" s="5">
        <f>SUM(MIN(I23,H4)*J4,MIN(I23,H5)*J5,MIN(I23,H6)*J6,MIN(I23,H7)*J7,MIN(I23,H8)*J8,MIN(I23,H9)*J9,MIN(I23,H10)*J10,MIN(I23,H11)*J11,MIN(I23,H12)*J12,MIN(I23,H13)*J13,MIN(I23,H14)*J14,MIN(I23,H15)*J15)</f>
        <v>54486.3103196986</v>
      </c>
      <c r="K23" s="5">
        <f>SUM(MIN(I23,K4)*M4,MIN(I23,K5)*M5,MIN(I23,K6)*M6,MIN(I23,K7)*M7,MIN(I23,K8)*M8,MIN(I23,K9)*M9,MIN(I23,K10)*M10,MIN(I23,K11)*M11,MIN(I23,K12)*M12,MIN(I23,K13)*M13,MIN(I23,K14)*M14,MIN(I23,K15)*M15)</f>
        <v>10587.37</v>
      </c>
      <c r="L23" s="5">
        <f>J23+K23</f>
        <v>65073.6803196986</v>
      </c>
      <c r="M23" s="3" t="s">
        <v>701</v>
      </c>
      <c r="N23" s="3"/>
      <c r="O23" s="3"/>
      <c r="P23" s="3"/>
      <c r="Q23" s="3"/>
    </row>
    <row r="24" ht="51" spans="1:17">
      <c r="A24" s="3" t="s">
        <v>702</v>
      </c>
      <c r="B24" s="3">
        <f>MIN(B21,B22/2)</f>
        <v>183.8592</v>
      </c>
      <c r="C24" s="3" t="s">
        <v>677</v>
      </c>
      <c r="D24" s="3" t="s">
        <v>703</v>
      </c>
      <c r="E24" s="3" t="s">
        <v>698</v>
      </c>
      <c r="F24" s="3" t="s">
        <v>704</v>
      </c>
      <c r="G24" s="3"/>
      <c r="H24" s="3" t="s">
        <v>705</v>
      </c>
      <c r="I24" s="3">
        <v>215.04</v>
      </c>
      <c r="J24" s="5">
        <f>SUM(MIN(I24,H4)*J4,MIN(I24,H5)*J5,MIN(I24,H6)*J6,MIN(I24,H7)*J7,MIN(I24,H8)*J8,MIN(I24,H9)*J9,MIN(I24,H10)*J10,MIN(I24,H11)*J11,MIN(I24,H12)*J12,MIN(I24,H13)*J13,MIN(I24,H14)*J14,MIN(I24,H15)*J15)</f>
        <v>63726.6787364896</v>
      </c>
      <c r="K24" s="5">
        <f>SUM(MIN(I24,K4)*M4,MIN(I24,K5)*M5,MIN(I24,K6)*M6,MIN(I24,K7)*M7,MIN(I24,K8)*M8,MIN(I24,K9)*M9,MIN(I24,K10)*M10,MIN(I24,K11)*M11,MIN(I24,K12)*M12,MIN(I24,K13)*M13,MIN(I24,K14)*M14,MIN(I24,K15)*M15)</f>
        <v>10587.37</v>
      </c>
      <c r="L24" s="5">
        <f>J24+K24</f>
        <v>74314.0487364896</v>
      </c>
      <c r="M24" s="3" t="s">
        <v>706</v>
      </c>
      <c r="N24" s="3"/>
      <c r="O24" s="3"/>
      <c r="P24" s="3"/>
      <c r="Q24" s="3"/>
    </row>
    <row r="25" ht="34" spans="1:17">
      <c r="A25" s="3" t="s">
        <v>707</v>
      </c>
      <c r="B25" s="3">
        <f>MIN(B21,B22/3)</f>
        <v>122.5728</v>
      </c>
      <c r="C25" s="3" t="s">
        <v>677</v>
      </c>
      <c r="D25" s="3" t="s">
        <v>708</v>
      </c>
      <c r="E25" s="3" t="s">
        <v>698</v>
      </c>
      <c r="F25" s="3" t="s">
        <v>709</v>
      </c>
      <c r="G25" s="3"/>
      <c r="H25" s="3"/>
      <c r="I25" s="3"/>
      <c r="J25" s="3"/>
      <c r="K25" s="3"/>
      <c r="L25" s="3"/>
      <c r="M25" s="3"/>
      <c r="N25" s="3"/>
      <c r="O25" s="3"/>
      <c r="P25" s="3"/>
      <c r="Q25" s="3"/>
    </row>
    <row r="26" spans="1:17">
      <c r="A26" s="3"/>
      <c r="B26" s="3"/>
      <c r="C26" s="3"/>
      <c r="D26" s="3"/>
      <c r="E26" s="3"/>
      <c r="F26" s="3"/>
      <c r="G26" s="3"/>
      <c r="H26" s="3"/>
      <c r="I26" s="3"/>
      <c r="J26" s="3"/>
      <c r="K26" s="3"/>
      <c r="L26" s="3"/>
      <c r="M26" s="3"/>
      <c r="N26" s="3"/>
      <c r="O26" s="3"/>
      <c r="P26" s="3"/>
      <c r="Q26" s="3"/>
    </row>
    <row r="27" ht="34" spans="1:17">
      <c r="A27" s="3"/>
      <c r="B27" s="3"/>
      <c r="C27" s="3"/>
      <c r="D27" s="3"/>
      <c r="E27" s="3"/>
      <c r="F27" s="3"/>
      <c r="G27" s="3"/>
      <c r="H27" s="9" t="s">
        <v>710</v>
      </c>
      <c r="I27" s="9" t="s">
        <v>711</v>
      </c>
      <c r="J27" s="9" t="s">
        <v>712</v>
      </c>
      <c r="K27" s="9" t="s">
        <v>713</v>
      </c>
      <c r="L27" s="9" t="s">
        <v>714</v>
      </c>
      <c r="M27" s="9" t="s">
        <v>671</v>
      </c>
      <c r="N27" s="3"/>
      <c r="O27" s="3"/>
      <c r="P27" s="3"/>
      <c r="Q27" s="3"/>
    </row>
    <row r="28" ht="34" spans="1:17">
      <c r="A28" s="3"/>
      <c r="B28" s="3"/>
      <c r="C28" s="3"/>
      <c r="D28" s="3"/>
      <c r="E28" s="3"/>
      <c r="F28" s="3"/>
      <c r="G28" s="3"/>
      <c r="H28" s="3" t="s">
        <v>715</v>
      </c>
      <c r="I28" s="3">
        <v>100</v>
      </c>
      <c r="J28" s="5">
        <f>SUM(MIN(I28,H4)*J4,MIN(I28,H5)*J5,MIN(I28,H6)*J6,MIN(I28,H7)*J7,MIN(I28,H8)*J8,MIN(I28,H9)*J9,MIN(I28,H10)*J10,MIN(I28,H11)*J11,MIN(I28,H12)*J12,MIN(I28,H13)*J13,MIN(I28,H14)*J14,MIN(I28,H15)*J15)</f>
        <v>29634.802239811</v>
      </c>
      <c r="K28" s="5">
        <f>SUM(MIN(I28,K4)*M4,MIN(I28,K5)*M5,MIN(I28,K6)*M6,MIN(I28,K7)*M7,MIN(I28,K8)*M8,MIN(I28,K9)*M9,MIN(I28,K10)*M10,MIN(I28,K11)*M11,MIN(I28,K12)*M12,MIN(I28,K13)*M13,MIN(I28,K14)*M14,MIN(I28,K15)*M15)</f>
        <v>9737.9511930406</v>
      </c>
      <c r="L28" s="5">
        <f>J28+K28</f>
        <v>39372.7534328516</v>
      </c>
      <c r="M28" s="3" t="s">
        <v>716</v>
      </c>
      <c r="N28" s="3"/>
      <c r="O28" s="3"/>
      <c r="P28" s="3"/>
      <c r="Q28" s="3"/>
    </row>
    <row r="29" ht="84" spans="1:17">
      <c r="A29" s="3"/>
      <c r="B29" s="3"/>
      <c r="C29" s="3"/>
      <c r="D29" s="3"/>
      <c r="E29" s="3"/>
      <c r="F29" s="3"/>
      <c r="G29" s="3"/>
      <c r="H29" s="3" t="s">
        <v>717</v>
      </c>
      <c r="I29" s="3">
        <v>100</v>
      </c>
      <c r="J29" s="5">
        <f>SUM(MIN(I29,B4)*D4,MIN(I29,B5)*D5,MIN(I29,B6)*D6,MIN(I29,B7)*D7,MIN(I29,B8)*D8,MIN(I29,B9)*D9,MIN(I29,B10)*D10,MIN(I29,B11)*D11,MIN(I29,B12)*D12,MIN(I29,B13)*D13,MIN(I29,B14)*D14,MIN(I29,B15)*D15)</f>
        <v>7829.43</v>
      </c>
      <c r="K29" s="5">
        <f>SUM(MIN(I29,E4)*G4,MIN(I29,E5)*G5,MIN(I29,E6)*G6,MIN(I29,E7)*G7,MIN(I29,E8)*G8,MIN(I29,E9)*G9,MIN(I29,E10)*G10,MIN(I29,E11)*G11,MIN(I29,E12)*G12,MIN(I29,E13)*G13,MIN(I29,E14)*G14,MIN(I29,E15)*G15)</f>
        <v>1582.1</v>
      </c>
      <c r="L29" s="5">
        <f>J29+K29</f>
        <v>9411.53</v>
      </c>
      <c r="M29" s="3" t="s">
        <v>718</v>
      </c>
      <c r="N29" s="3"/>
      <c r="O29" s="3"/>
      <c r="P29" s="3"/>
      <c r="Q29" s="3"/>
    </row>
    <row r="30" ht="68" spans="1:17">
      <c r="A30" s="3"/>
      <c r="B30" s="3"/>
      <c r="C30" s="3"/>
      <c r="D30" s="3"/>
      <c r="E30" s="3"/>
      <c r="F30" s="3"/>
      <c r="G30" s="3"/>
      <c r="H30" s="3" t="s">
        <v>719</v>
      </c>
      <c r="I30" s="3">
        <v>107.52</v>
      </c>
      <c r="J30" s="5">
        <f>SUM(MIN(I30,H4)*J4,MIN(I30,H5)*J5,MIN(I30,H6)*J6,MIN(I30,H7)*J7,MIN(I30,H8)*J8,MIN(I30,H9)*J9,MIN(I30,H10)*J10,MIN(I30,H11)*J11,MIN(I30,H12)*J12,MIN(I30,H13)*J13,MIN(I30,H14)*J14,MIN(I30,H15)*J15,MIN(I30,B4)*D4,MIN(I30,B5)*D5,MIN(I30,B6)*D6,MIN(I30,B7)*D7,MIN(I30,B8)*D8,MIN(I30,B9)*D9,MIN(I30,B10)*D10,MIN(I30,B11)*D11,MIN(I30,B12)*D12,MIN(I30,B13)*D13,MIN(I30,B14)*D14,MIN(I30,B15)*D15)</f>
        <v>39692.7693682448</v>
      </c>
      <c r="K30" s="5">
        <f>SUM(MIN(I30,K4)*M4,MIN(I30,K5)*M5,MIN(I30,K6)*M6,MIN(I30,K7)*M7,MIN(I30,K8)*M8,MIN(I30,K9)*M9,MIN(I30,K10)*M10,MIN(I30,K11)*M11,MIN(I30,K12)*M12,MIN(I30,K13)*M13,MIN(I30,K14)*M14,MIN(I30,K15)*M15,MIN(I30,E4)*G4,MIN(I30,E5)*G5,MIN(I30,E6)*G6,MIN(I30,E7)*G7,MIN(I30,E8)*G8,MIN(I30,E9)*G9,MIN(I30,E10)*G10,MIN(I30,E11)*G11,MIN(I30,E12)*G12,MIN(I30,E13)*G13,MIN(I30,E14)*G14,MIN(I30,E15)*G15)</f>
        <v>11474.5632187573</v>
      </c>
      <c r="L30" s="5">
        <f>J30+K30</f>
        <v>51167.3325870021</v>
      </c>
      <c r="M30" s="3" t="s">
        <v>720</v>
      </c>
      <c r="N30" s="3"/>
      <c r="O30" s="3"/>
      <c r="P30" s="3"/>
      <c r="Q30" s="3"/>
    </row>
    <row r="31" spans="1:17">
      <c r="A31" s="3"/>
      <c r="B31" s="3"/>
      <c r="C31" s="3"/>
      <c r="D31" s="3"/>
      <c r="E31" s="3"/>
      <c r="F31" s="3"/>
      <c r="G31" s="3"/>
      <c r="H31" s="3"/>
      <c r="I31" s="3"/>
      <c r="J31" s="3"/>
      <c r="K31" s="3"/>
      <c r="L31" s="3"/>
      <c r="M31" s="3"/>
      <c r="N31" s="3"/>
      <c r="O31" s="3"/>
      <c r="P31" s="3"/>
      <c r="Q31" s="3"/>
    </row>
    <row r="32" spans="1:17">
      <c r="A32" s="3"/>
      <c r="B32" s="3"/>
      <c r="C32" s="3"/>
      <c r="D32" s="3"/>
      <c r="E32" s="3"/>
      <c r="F32" s="3"/>
      <c r="G32" s="3"/>
      <c r="H32" s="3"/>
      <c r="I32" s="3"/>
      <c r="J32" s="3"/>
      <c r="K32" s="3"/>
      <c r="L32" s="3"/>
      <c r="M32" s="3"/>
      <c r="N32" s="3"/>
      <c r="O32" s="3"/>
      <c r="P32" s="3"/>
      <c r="Q32" s="3"/>
    </row>
    <row r="33" s="1" customFormat="1" spans="1:17">
      <c r="A33" s="7"/>
      <c r="B33" s="7"/>
      <c r="C33" s="7"/>
      <c r="D33" s="7"/>
      <c r="E33" s="7"/>
      <c r="F33" s="7"/>
      <c r="G33" s="7"/>
      <c r="H33" s="8"/>
      <c r="I33" s="8"/>
      <c r="J33" s="8"/>
      <c r="K33" s="8"/>
      <c r="L33" s="8"/>
      <c r="M33" s="8"/>
      <c r="N33" s="7"/>
      <c r="O33" s="7"/>
      <c r="P33" s="7"/>
      <c r="Q33" s="7"/>
    </row>
    <row r="34" s="1" customFormat="1" spans="1:17">
      <c r="A34" s="8"/>
      <c r="B34" s="8"/>
      <c r="C34" s="8"/>
      <c r="D34" s="8"/>
      <c r="E34" s="8"/>
      <c r="F34" s="8"/>
      <c r="G34" s="8"/>
      <c r="H34" s="8"/>
      <c r="I34" s="8"/>
      <c r="J34" s="8"/>
      <c r="K34" s="8"/>
      <c r="L34" s="8"/>
      <c r="M34" s="8"/>
      <c r="N34" s="8"/>
      <c r="O34" s="8"/>
      <c r="P34" s="8"/>
      <c r="Q34" s="8"/>
    </row>
    <row r="35" s="1" customFormat="1" spans="1:17">
      <c r="A35" s="8"/>
      <c r="B35" s="8"/>
      <c r="C35" s="8"/>
      <c r="D35" s="8"/>
      <c r="E35" s="8"/>
      <c r="F35" s="8"/>
      <c r="G35" s="8"/>
      <c r="H35" s="8"/>
      <c r="I35" s="8"/>
      <c r="J35" s="8"/>
      <c r="K35" s="8"/>
      <c r="L35" s="8"/>
      <c r="M35" s="8"/>
      <c r="N35" s="8"/>
      <c r="O35" s="8"/>
      <c r="P35" s="8"/>
      <c r="Q35" s="8"/>
    </row>
    <row r="36" s="1" customFormat="1" spans="1:17">
      <c r="A36" s="8"/>
      <c r="B36" s="8"/>
      <c r="C36" s="8"/>
      <c r="D36" s="8"/>
      <c r="E36" s="8"/>
      <c r="F36" s="8"/>
      <c r="G36" s="8"/>
      <c r="H36" s="8"/>
      <c r="I36" s="8"/>
      <c r="J36" s="8"/>
      <c r="K36" s="8"/>
      <c r="L36" s="8"/>
      <c r="M36" s="8"/>
      <c r="N36" s="8"/>
      <c r="O36" s="8"/>
      <c r="P36" s="8"/>
      <c r="Q36" s="8"/>
    </row>
    <row r="37" s="1" customFormat="1" spans="1:17">
      <c r="A37" s="8"/>
      <c r="B37" s="8"/>
      <c r="C37" s="8"/>
      <c r="D37" s="8"/>
      <c r="E37" s="8"/>
      <c r="F37" s="8"/>
      <c r="G37" s="8"/>
      <c r="H37" s="8"/>
      <c r="I37" s="8"/>
      <c r="J37" s="8"/>
      <c r="K37" s="8"/>
      <c r="L37" s="8"/>
      <c r="M37" s="8"/>
      <c r="N37" s="8"/>
      <c r="O37" s="8"/>
      <c r="P37" s="8"/>
      <c r="Q37" s="8"/>
    </row>
    <row r="38" s="1" customFormat="1" spans="1:17">
      <c r="A38" s="8"/>
      <c r="B38" s="8"/>
      <c r="C38" s="8"/>
      <c r="D38" s="8"/>
      <c r="E38" s="8"/>
      <c r="F38" s="8"/>
      <c r="G38" s="8"/>
      <c r="H38" s="8"/>
      <c r="I38" s="8"/>
      <c r="J38" s="8"/>
      <c r="K38" s="8"/>
      <c r="L38" s="8"/>
      <c r="M38" s="8"/>
      <c r="N38" s="8"/>
      <c r="O38" s="8"/>
      <c r="P38" s="8"/>
      <c r="Q38" s="8"/>
    </row>
    <row r="39" s="1" customFormat="1" spans="1:17">
      <c r="A39" s="8"/>
      <c r="B39" s="8"/>
      <c r="C39" s="8"/>
      <c r="D39" s="8"/>
      <c r="E39" s="8"/>
      <c r="F39" s="8"/>
      <c r="G39" s="8"/>
      <c r="N39" s="8"/>
      <c r="O39" s="8"/>
      <c r="P39" s="8"/>
      <c r="Q39" s="8"/>
    </row>
  </sheetData>
  <mergeCells count="1">
    <mergeCell ref="A1:Q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24</vt:i4>
      </vt:variant>
    </vt:vector>
  </HeadingPairs>
  <TitlesOfParts>
    <vt:vector size="24" baseType="lpstr">
      <vt:lpstr>Meter1 TOU Detail</vt:lpstr>
      <vt:lpstr>Meter2 TOU Detail</vt:lpstr>
      <vt:lpstr>Combined TOU Profile</vt:lpstr>
      <vt:lpstr>Documentation</vt:lpstr>
      <vt:lpstr>Model Assumptions</vt:lpstr>
      <vt:lpstr>PV Production</vt:lpstr>
      <vt:lpstr>ESS Sizing</vt:lpstr>
      <vt:lpstr>Scenarios</vt:lpstr>
      <vt:lpstr>Financial</vt:lpstr>
      <vt:lpstr>Recommendation</vt:lpstr>
      <vt:lpstr>Sources</vt:lpstr>
      <vt:lpstr>Proposal Summary</vt:lpstr>
      <vt:lpstr>Project Overview</vt:lpstr>
      <vt:lpstr>0.1Project Overview</vt:lpstr>
      <vt:lpstr>0.2Proposal Dashboard</vt:lpstr>
      <vt:lpstr>1PV Proposal</vt:lpstr>
      <vt:lpstr>2ESS Proposal</vt:lpstr>
      <vt:lpstr>3Rebates Incentives</vt:lpstr>
      <vt:lpstr>4Electric Bills</vt:lpstr>
      <vt:lpstr>5Cash Purchase</vt:lpstr>
      <vt:lpstr>6Detailed Cash Flow</vt:lpstr>
      <vt:lpstr>Proposal Checklist</vt:lpstr>
      <vt:lpstr>PV-ESS Energy Flow</vt:lpstr>
      <vt:lpstr>Demand Charge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2026-10-08T01:45:00Z</dcterms:created>
  <dcterms:modified xsi:type="dcterms:W3CDTF">2026-10-06T06:40:49Z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1033-6.14.0.8924</vt:lpwstr>
  </property>
  <property fmtid="{D5CDD505-2E9C-101B-9397-08002B2CF9AE}" pid="3" name="ICV">
    <vt:lpwstr>64FF12D6EE4306492AE5C36AC34F2886_42</vt:lpwstr>
  </property>
</Properties>
</file>