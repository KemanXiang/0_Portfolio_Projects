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00_Project_Overview" sheetId="2" r:id="rId1"/>
    <sheet name="1Healthcare" sheetId="1" r:id="rId2"/>
    <sheet name="02_Results_Dashboard" sheetId="3" r:id="rId3"/>
    <sheet name="03_Convergence" sheetId="4" r:id="rId4"/>
    <sheet name="04_Documentation" sheetId="5" r:id="rId5"/>
  </sheets>
  <definedNames>
    <definedName name="accumulative_tax">'1Healthcare'!$AD$2:$AD$1001</definedName>
    <definedName name="accumulative_tax_protection">'1Healthcare'!$BE$2:$BE$1001</definedName>
    <definedName name="avg_infection_rate_protection">'1Healthcare'!$BJ$3</definedName>
    <definedName name="avg_tax_no_protection">'1Healthcare'!$BR$1</definedName>
    <definedName name="avg_tax_protection">'1Healthcare'!$BR$2</definedName>
    <definedName name="disease_die">'1Healthcare'!$AA$2:$AA$1001</definedName>
    <definedName name="disease_die_protection">'1Healthcare'!$BB$2:$BB$1001</definedName>
    <definedName name="disease_dieout">'1Healthcare'!$W$1</definedName>
    <definedName name="I1_">'1Healthcare'!$L$2</definedName>
    <definedName name="infection_rate">'1Healthcare'!$W$3</definedName>
    <definedName name="It">'1Healthcare'!$R$2:$R$101</definedName>
    <definedName name="It_protection">'1Healthcare'!$AS$2:$AS$101</definedName>
    <definedName name="N">'1Healthcare'!$L$11</definedName>
    <definedName name="p_die">'1Healthcare'!$L$8</definedName>
    <definedName name="p_disease_dieout_protection">'1Healthcare'!$BJ$2</definedName>
    <definedName name="p_encounter">'1Healthcare'!$L$4</definedName>
    <definedName name="p_encounter_protection">'1Healthcare'!$L$5</definedName>
    <definedName name="p_infected">'1Healthcare'!$L$6</definedName>
    <definedName name="p_population_dieout_protection">'1Healthcare'!$BJ$1</definedName>
    <definedName name="p1_">'1Healthcare'!$L$9</definedName>
    <definedName name="polulation_die">'1Healthcare'!$AB$2:$AB$1001</definedName>
    <definedName name="polulation_die_protection">'1Healthcare'!$BC$2:$BC$1001</definedName>
    <definedName name="population">'1Healthcare'!$L$3</definedName>
    <definedName name="population_dieout">'1Healthcare'!$W$2</definedName>
    <definedName name="r_infection">'1Healthcare'!$AC$2:$AC$1001</definedName>
    <definedName name="r_infection_protection">'1Healthcare'!$BD$2:$BD$1001</definedName>
    <definedName name="Dt">'1Healthcare'!$S$2:$S$101</definedName>
    <definedName name="Dt_protection">'1Healthcare'!$AT$2:$AT$101</definedName>
    <definedName name="S1_">'1Healthcare'!$L$1</definedName>
    <definedName name="St">'1Healthcare'!$Q$2:$Q$101</definedName>
    <definedName name="St_protection">'1Healthcare'!$AR$2:$AR$101</definedName>
    <definedName name="p_infected_protection">'1Healthcare'!$L$7</definedName>
    <definedName name="p1_protection">'1Healthcare'!$L$10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<sst xmlns="http://schemas.openxmlformats.org/spreadsheetml/2006/main" count="262" uniqueCount="225">
  <si>
    <t>Healthcare Infectious Disease Simulation</t>
  </si>
  <si>
    <t>Stochastic dynamic modeling • Monte Carlo simulation • intervention scenario analysis • uncertainty quantification</t>
  </si>
  <si>
    <t>Problem</t>
  </si>
  <si>
    <t>A remote village begins with 100 residents: 95 susceptible and 5 infected. In every period, each infected person has a 10% probability of dying. An infected person encounters a particular susceptible with probability 5%; conditional on an encounter, the susceptible becomes infected with probability 50%. The project models the village for 100 periods and evaluates outcomes across 1,000 simulated villages. A protection intervention reduces the conditional infection probability during an encounter from 50% to 10%, while leaving the encounter probability unchanged. The analysis asks whether protection changes population survival, disease extinction, cumulative infection, and the economic value of preserving the tax-paying population.</t>
  </si>
  <si>
    <t>Model</t>
  </si>
  <si>
    <t>State / parameter</t>
  </si>
  <si>
    <t>Definition</t>
  </si>
  <si>
    <t>No protection:
q_t = (1 − 0.05×0.50)^{I_t} = 0.975^{I_t}
S_{t+1} ~ Binomial(S_t, q_t)</t>
  </si>
  <si>
    <t>S_t</t>
  </si>
  <si>
    <t>Number of susceptible residents in period t</t>
  </si>
  <si>
    <t>I_t</t>
  </si>
  <si>
    <t>Number of infected residents in period t</t>
  </si>
  <si>
    <t>D_t</t>
  </si>
  <si>
    <t>Cumulative deaths through period t</t>
  </si>
  <si>
    <t>Protection:
q_t^P = (1 − 0.05×0.10)^{I_t} = 0.995^{I_t}
S_{t+1}^P ~ Binomial(S_t^P, q_t^P)</t>
  </si>
  <si>
    <t>Initial state</t>
  </si>
  <si>
    <t>S₁ = 95, I₁ = 5, D₁ = 0</t>
  </si>
  <si>
    <t>No-protection transmission</t>
  </si>
  <si>
    <t>Per infected–susceptible pair: 0.05 × 0.50 = 0.025</t>
  </si>
  <si>
    <t>Protection transmission</t>
  </si>
  <si>
    <t>Per infected–susceptible pair: 0.05 × 0.10 = 0.005</t>
  </si>
  <si>
    <t>Infected population update:
I_{t+1} = surviving infected + newly infected
Surviving infected ~ Binomial(I_t, 0.90); newly infected = S_t − S_{t+1}.</t>
  </si>
  <si>
    <t>State identity</t>
  </si>
  <si>
    <t>S_t + I_t + D_t = 100</t>
  </si>
  <si>
    <t>Simulation Design</t>
  </si>
  <si>
    <t>1. Simulate one 100-period sample path for the village under no protection and under protection.
2. At each transition, draw the number remaining susceptible and the number of infected survivors from binomial distributions using RAND() and BINOM.INV().
3. Record end-of-horizon indicators for population die-out (D₁₀₀ = 100) and disease die-out (I₁₀₀ = 0), the cumulative infection rate, and cumulative tax revenue.
4. Replicate the sample path across N = 1,000 villages using Excel Data Tables.
5. Estimate probabilities/means and 95% confidence intervals from the Monte Carlo sample.
6. Compare the two scenarios and examine whether estimates stabilize as the simulation sample increases.</t>
  </si>
  <si>
    <t>Analytical Questions</t>
  </si>
  <si>
    <t>Question</t>
  </si>
  <si>
    <t>Metric</t>
  </si>
  <si>
    <t>Comparison / decision use</t>
  </si>
  <si>
    <t>Population survival</t>
  </si>
  <si>
    <t>P(D₁₀₀ = 100)</t>
  </si>
  <si>
    <t>How strongly does protection reduce catastrophic population loss?</t>
  </si>
  <si>
    <t>Disease extinction</t>
  </si>
  <si>
    <t>P(I₁₀₀ = 0)</t>
  </si>
  <si>
    <t>Does protection materially change whether infection is extinct by period 100?</t>
  </si>
  <si>
    <t>Cumulative infection</t>
  </si>
  <si>
    <t>(I₁₀₀ + D₁₀₀) / 100</t>
  </si>
  <si>
    <t>How much of the original population has ever been infected?</t>
  </si>
  <si>
    <t>Economic preservation</t>
  </si>
  <si>
    <t>Cumulative tax revenue ($000s)</t>
  </si>
  <si>
    <t>How much additional tax base is preserved under protection?</t>
  </si>
  <si>
    <t>Interpretation &amp; Managerial / Analytical Implications</t>
  </si>
  <si>
    <t>The intervention is evaluated as a risk-reduction policy rather than only as a disease-extinction policy. In this stylized system, lowering transmission can preserve substantially more of the population and therefore a larger cumulative tax base, even when the disease is ultimately extinct in most simulated villages under both scenarios. The comparison illustrates an important simulation insight: a policy can create economic and survival value by changing the path of a dynamic process, not merely its terminal disease status. Confidence intervals quantify Monte Carlo uncertainty, while the convergence analysis checks whether the estimated scenario differences are stable as the number of simulated villages grows.</t>
  </si>
  <si>
    <t>Limitations</t>
  </si>
  <si>
    <t>This is a stylized stochastic model, not an epidemiological forecast. It assumes homogeneous encounter risk, fixed transmission and mortality probabilities, no recovery state, no births or migration, universal protection in the intervention scenario, and no behavioral adaptation. The economic calculation values preserved population through gross cumulative tax revenue and does not subtract the cost of protection or other health/economic costs. Results are conditional on the specified 100-period horizon and parameter assumptions; Monte Carlo estimates also retain finite-sample simulation error.</t>
  </si>
  <si>
    <t>How to Read the Calculation Sheet</t>
  </si>
  <si>
    <t>INPUT</t>
  </si>
  <si>
    <t>S1</t>
  </si>
  <si>
    <t>Sample Path</t>
  </si>
  <si>
    <t>t</t>
  </si>
  <si>
    <t>pt</t>
  </si>
  <si>
    <t>St</t>
  </si>
  <si>
    <t>It</t>
  </si>
  <si>
    <t>Dt</t>
  </si>
  <si>
    <t>STAT</t>
  </si>
  <si>
    <t>disease_dieout</t>
  </si>
  <si>
    <t>Data Table</t>
  </si>
  <si>
    <t>vilages</t>
  </si>
  <si>
    <t>disease_die</t>
  </si>
  <si>
    <t>polulation_die</t>
  </si>
  <si>
    <t>r(infection)</t>
  </si>
  <si>
    <t>accumulative_tax ($000s)</t>
  </si>
  <si>
    <t>OUTPUT</t>
  </si>
  <si>
    <t>Qa</t>
  </si>
  <si>
    <t>p(population_dieout)</t>
  </si>
  <si>
    <t>95%CI_LB</t>
  </si>
  <si>
    <t>95%CI_HB</t>
  </si>
  <si>
    <t>St_protection</t>
  </si>
  <si>
    <t>It_protection</t>
  </si>
  <si>
    <t>Dt_protection</t>
  </si>
  <si>
    <t>disease_die_protection</t>
  </si>
  <si>
    <t>polulation_die_protection</t>
  </si>
  <si>
    <t>r(infection_protection)</t>
  </si>
  <si>
    <t>accumulative_tax_protection ($000s)</t>
  </si>
  <si>
    <t>Qd</t>
  </si>
  <si>
    <t>p(population_dieout_protection)</t>
  </si>
  <si>
    <t>Qe</t>
  </si>
  <si>
    <t>avg_tax_no_protection ($000s)</t>
  </si>
  <si>
    <t>I1</t>
  </si>
  <si>
    <t>population_dieout</t>
  </si>
  <si>
    <t>Qb</t>
  </si>
  <si>
    <t>p(disease_dieout)</t>
  </si>
  <si>
    <t>p(disease_dieout_protection)</t>
  </si>
  <si>
    <t>avg_tax_protection ($000s)</t>
  </si>
  <si>
    <t>population</t>
  </si>
  <si>
    <t>infection_rate</t>
  </si>
  <si>
    <t>Qc</t>
  </si>
  <si>
    <t>avg_infection_rate</t>
  </si>
  <si>
    <t>avg_infection_rate_protection</t>
  </si>
  <si>
    <t>gain ($000s)</t>
  </si>
  <si>
    <t>INPUT — Model Parameters</t>
  </si>
  <si>
    <t>p(encounter)</t>
  </si>
  <si>
    <t>Defines the initial village state and stochastic parameters. The village starts with 95 susceptible and 5 infected residents. Encounter probability is 5%; conditional infection probability is 50% without protection and 10% with protection; infected mortality is 10% per period. N = 1,000 is the number of simulated villages.</t>
  </si>
  <si>
    <t>p(encounter_protection)</t>
  </si>
  <si>
    <t>p(infected)</t>
  </si>
  <si>
    <t>p(infected_protection)</t>
  </si>
  <si>
    <t>p(die)</t>
  </si>
  <si>
    <t>p1</t>
  </si>
  <si>
    <t>SAMPLE PATH — No Protection</t>
  </si>
  <si>
    <t>p1_protection</t>
  </si>
  <si>
    <t>Columns F:J trace one stochastic 100-period village trajectory. For each period, p_t is the probability that a susceptible avoids infection from all current infectives. St is the susceptible population, It the infected population, and Dt cumulative deaths. Each next state is generated with binomial random draws, so recalculation can produce a different path.</t>
  </si>
  <si>
    <t>N</t>
  </si>
  <si>
    <t>STAT — What the Four Values Mean</t>
  </si>
  <si>
    <t>The STAT block converts the final state of one sample path into four analysis-ready outcomes: disease_dieout = 1 when I₁₀₀ = 0; population_dieout = 1 when D₁₀₀ = 100; infection_rate is the share of the original population ever infected by period 100; accumulative_tax is cumulative tax generated by living residents, reported in $000s. These values feed the Monte Carlo Data Table.</t>
  </si>
  <si>
    <t>DATA TABLE — 1,000 Villages</t>
  </si>
  <si>
    <t>The Data Table repeats the stochastic sample-path model 1,000 times. Each row is one simulated village and records the four STAT outcomes. The output section then averages these replications to estimate probabilities or expected values and uses the cross-village variation to construct 95% confidence intervals.</t>
  </si>
  <si>
    <t>Qa — Population Die-Out Risk</t>
  </si>
  <si>
    <t>Qa estimates the probability that the entire original population has died by period 100 under no protection. It addresses the most severe population-level consequence of the epidemic: catastrophic village loss. The reported 95% confidence interval quantifies Monte Carlo uncertainty around this estimated probability.</t>
  </si>
  <si>
    <t>Qb — Disease Die-Out Probability</t>
  </si>
  <si>
    <t>Qb estimates the probability that no infected residents remain at period 100 under no protection. This is a terminal disease-status measure. It should be interpreted separately from population survival: the disease can disappear because transmission ends, but it can also disappear after causing extensive mortality.</t>
  </si>
  <si>
    <t>Qc — Cumulative Infection Burden</t>
  </si>
  <si>
    <t>Qc reports the average share of the original population that has ever been infected by period 100. It captures epidemic reach rather than only the final number currently infected, because residents who died after infection are included in the cumulative burden.</t>
  </si>
  <si>
    <t>PROTECTION SAMPLE PATH &amp; STAT</t>
  </si>
  <si>
    <t>The protection model repeats the same stochastic state-transition logic while changing only the conditional infection probability from 50% to 10%. Encounter probability remains 5%. The protection STAT block has the same definitions as the no-protection block, enabling like-for-like scenario comparison.</t>
  </si>
  <si>
    <t>Qd — Protection Scenario Outcomes</t>
  </si>
  <si>
    <t>Qd summarizes the protection scenario: population die-out probability, disease die-out probability, and average cumulative infection rate, each with a 95% confidence interval. Comparing Qd with Qa–Qc shows how reducing transmission changes health and survival outcomes across simulated villages.</t>
  </si>
  <si>
    <t>Qe — Economic Consequence</t>
  </si>
  <si>
    <t>Qe compares average cumulative tax revenue with and without protection. Tax is $10,000 per living resident per period; the workbook expresses monetary values in $000s. 'gain' is the difference between average cumulative tax under protection and no protection, representing the tax base preserved in this stylized model.</t>
  </si>
  <si>
    <t>Model scope: This workbook is a stylized stochastic decision model for comparing two transmission scenarios. It is designed to demonstrate dynamic simulation, Monte Carlo estimation, confidence intervals, and scenario-based economic interpretation; it is not an epidemiological forecast or a net-benefit analysis.</t>
  </si>
  <si>
    <t>Simulation Results Dashboard</t>
  </si>
  <si>
    <t>1,000 simulated villages • 100-period horizon • values linked directly to the original simulation model</t>
  </si>
  <si>
    <t>Outcome</t>
  </si>
  <si>
    <t>No Protection</t>
  </si>
  <si>
    <t>Protection</t>
  </si>
  <si>
    <t>Absolute Change</t>
  </si>
  <si>
    <t>No-Prot 95% LB</t>
  </si>
  <si>
    <t>No-Prot 95% UB</t>
  </si>
  <si>
    <t>Protection 95% CI</t>
  </si>
  <si>
    <t>Population die-out probability</t>
  </si>
  <si>
    <t>Disease die-out probability</t>
  </si>
  <si>
    <t>Average cumulative infection rate</t>
  </si>
  <si>
    <t>Average cumulative tax ($000s)</t>
  </si>
  <si>
    <t>Interpretation</t>
  </si>
  <si>
    <t>Managerial / Analytical Implications</t>
  </si>
  <si>
    <t>• Evaluate interventions on path-dependent outcomes, not only end states: two scenarios can both end with disease extinction yet have very different mortality and economic consequences.
• Pair expected outcomes with confidence intervals so decision makers can distinguish estimated effects from Monte Carlo noise.
• Translate operational/health outcomes into an economic metric only with explicit units and scope; here tax is a gross preservation benefit, not a net-benefit calculation.
• Scenario simulation is especially useful when nonlinear feedback matters: fewer infections today reduce the pool of infectives that can transmit disease in later periods.</t>
  </si>
  <si>
    <t>Scenario</t>
  </si>
  <si>
    <t>Tax ($000s)</t>
  </si>
  <si>
    <t>Monte Carlo Convergence Check</t>
  </si>
  <si>
    <t>Running estimates are recomputed from progressively larger subsets of the 1,000 simulated villages. Stabilization as N grows provides a practical check that the reported scenario comparison is not driven by a small simulation sample.</t>
  </si>
  <si>
    <t>Pop. die-out
No Protection</t>
  </si>
  <si>
    <t>Pop. die-out
Protection</t>
  </si>
  <si>
    <t>Disease die-out
No Protection</t>
  </si>
  <si>
    <t>Disease die-out
Protection</t>
  </si>
  <si>
    <t>Infection rate
No Protection</t>
  </si>
  <si>
    <t>Infection rate
Protection</t>
  </si>
  <si>
    <t>Tax ($000s)
No Protection</t>
  </si>
  <si>
    <t>Tax ($000s)
Protection</t>
  </si>
  <si>
    <t>Interpretation: estimates should become progressively less sensitive to additional replications as N approaches 1,000. Probability estimates near 0 or 1 may appear stable relatively quickly, while a continuous monetary outcome such as cumulative tax can show more visible sample-to-sample variation. The final 1,000-village estimates and their confidence intervals remain the primary reported results; this sheet is a diagnostic for Monte Carlo stability, not a replacement for the full simulation.</t>
  </si>
  <si>
    <t>Model Documentation &amp; Reproducibility Notes</t>
  </si>
  <si>
    <t>Component</t>
  </si>
  <si>
    <t>Specification</t>
  </si>
  <si>
    <t>Implementation</t>
  </si>
  <si>
    <t>Population</t>
  </si>
  <si>
    <t>100 residents</t>
  </si>
  <si>
    <t>S₁=95, I₁=5, D₁=0</t>
  </si>
  <si>
    <t>Closed population; no births/migration</t>
  </si>
  <si>
    <t>Horizon</t>
  </si>
  <si>
    <t>100 periods</t>
  </si>
  <si>
    <t>Dynamic sample path</t>
  </si>
  <si>
    <t>Outcomes evaluated at period 100</t>
  </si>
  <si>
    <t>Monte Carlo sample</t>
  </si>
  <si>
    <t>1,000 villages</t>
  </si>
  <si>
    <t>Excel Data Table</t>
  </si>
  <si>
    <t>Independent stochastic replications</t>
  </si>
  <si>
    <t>Infected mortality</t>
  </si>
  <si>
    <t>10% per period</t>
  </si>
  <si>
    <t>Binomial survival with p=0.90</t>
  </si>
  <si>
    <t>No recovery state</t>
  </si>
  <si>
    <t>Encounter probability</t>
  </si>
  <si>
    <t>5%</t>
  </si>
  <si>
    <t>Fixed in both scenarios</t>
  </si>
  <si>
    <t>Protection does not change encounters</t>
  </si>
  <si>
    <t>Conditional infection</t>
  </si>
  <si>
    <t>50% → 10%</t>
  </si>
  <si>
    <t>Scenario-specific parameter</t>
  </si>
  <si>
    <t>Protection reduces transmission conditional on encounter</t>
  </si>
  <si>
    <t>Susceptible transition</t>
  </si>
  <si>
    <t>Binomial</t>
  </si>
  <si>
    <t>BINOM.INV + RAND()</t>
  </si>
  <si>
    <t>q_t depends on current I_t</t>
  </si>
  <si>
    <t>Disease die-out</t>
  </si>
  <si>
    <t>I₁₀₀=0</t>
  </si>
  <si>
    <t>Indicator averaged across villages</t>
  </si>
  <si>
    <t>Terminal disease status</t>
  </si>
  <si>
    <t>Population die-out</t>
  </si>
  <si>
    <t>D₁₀₀=100</t>
  </si>
  <si>
    <t>Catastrophic population outcome</t>
  </si>
  <si>
    <t>(I₁₀₀+D₁₀₀)/100</t>
  </si>
  <si>
    <t>Average across villages</t>
  </si>
  <si>
    <t>Share ever infected by horizon</t>
  </si>
  <si>
    <t>Economic metric</t>
  </si>
  <si>
    <t>Unit</t>
  </si>
  <si>
    <t>Caution</t>
  </si>
  <si>
    <t>Tax per living person per period</t>
  </si>
  <si>
    <t>$10,000</t>
  </si>
  <si>
    <t>Formula uses 10 in $000s</t>
  </si>
  <si>
    <t>Unit is explicitly $000s in outputs</t>
  </si>
  <si>
    <t>Cumulative tax</t>
  </si>
  <si>
    <t>10 × Σ(S_t+I_t)</t>
  </si>
  <si>
    <t>$000s</t>
  </si>
  <si>
    <t>Gross tax preservation, not net welfare</t>
  </si>
  <si>
    <t>Protection gain</t>
  </si>
  <si>
    <t>Average tax with protection − without</t>
  </si>
  <si>
    <t>Does not subtract intervention cost</t>
  </si>
  <si>
    <t>Uncertainty</t>
  </si>
  <si>
    <t>95% CI = mean ± 1.96×SE</t>
  </si>
  <si>
    <t>Outcome-specific units</t>
  </si>
  <si>
    <t>Quantifies Monte Carlo sampling uncertainty</t>
  </si>
  <si>
    <t>Workbook Map</t>
  </si>
  <si>
    <t>Sheet</t>
  </si>
  <si>
    <t>Purpose</t>
  </si>
  <si>
    <t>Notes</t>
  </si>
  <si>
    <t>00_Project_Overview</t>
  </si>
  <si>
    <t>Problem, model, design, implications, limitations</t>
  </si>
  <si>
    <t>Portfolio entry point</t>
  </si>
  <si>
    <t>1Healthcare</t>
  </si>
  <si>
    <t>Original stochastic simulation engine</t>
  </si>
  <si>
    <t>Original formulas and computational logic preserved</t>
  </si>
  <si>
    <t>02_Results_Dashboard</t>
  </si>
  <si>
    <t>Scenario results and interpretation</t>
  </si>
  <si>
    <t>Linked to simulation outputs</t>
  </si>
  <si>
    <t>03_Convergence</t>
  </si>
  <si>
    <t>Running-estimate stability diagnostics</t>
  </si>
  <si>
    <t>Linked to Monte Carlo sample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</si>
</sst>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
  </numFmts>
  <fonts count="34">
    <font>
      <sz val="12"/>
      <color theme="1"/>
      <name val="Calibri"/>
      <charset val="134"/>
    </font>
    <font>
      <b/>
      <sz val="18"/>
      <color rgb="FFFFFFFF"/>
      <name val="Aptos"/>
      <charset val="134"/>
    </font>
    <font>
      <sz val="12"/>
      <color theme="1"/>
      <name val="Aptos"/>
      <charset val="134"/>
    </font>
    <font>
      <b/>
      <sz val="12"/>
      <color rgb="FFFFFFFF"/>
      <name val="Aptos"/>
      <charset val="134"/>
    </font>
    <font>
      <b/>
      <sz val="12"/>
      <color rgb="FF1F1F1F"/>
      <name val="Aptos"/>
      <charset val="134"/>
    </font>
    <font>
      <i/>
      <sz val="12"/>
      <color rgb="FF666666"/>
      <name val="Aptos"/>
      <charset val="134"/>
    </font>
    <font>
      <sz val="10"/>
      <color theme="1"/>
      <name val="Aptos"/>
      <charset val="134"/>
    </font>
    <font>
      <sz val="10"/>
      <color rgb="FF222222"/>
      <name val="Aptos"/>
      <charset val="134"/>
    </font>
    <font>
      <sz val="12"/>
      <color rgb="FFFFFFFF"/>
      <name val="Aptos"/>
      <charset val="134"/>
    </font>
    <font>
      <b/>
      <sz val="15"/>
      <color rgb="FFFFFFFF"/>
      <name val="Calibri"/>
      <charset val="134"/>
    </font>
    <font>
      <b/>
      <sz val="11"/>
      <color rgb="FFFFFFFF"/>
      <name val="Calibri"/>
      <charset val="134"/>
    </font>
    <font>
      <sz val="10"/>
      <color rgb="FF222222"/>
      <name val="Calibri"/>
      <charset val="134"/>
    </font>
    <font>
      <b/>
      <sz val="10"/>
      <color rgb="FFFFFFFF"/>
      <name val="Calibri"/>
      <charset val="134"/>
    </font>
    <font>
      <b/>
      <sz val="12"/>
      <color theme="1"/>
      <name val="Calibri"/>
      <charset val="134"/>
    </font>
    <font>
      <i/>
      <sz val="10"/>
      <color theme="1"/>
      <name val="Calibri"/>
      <charset val="134"/>
    </font>
    <font>
      <i/>
      <sz val="10"/>
      <color rgb="FF365F91"/>
      <name val="Aptos"/>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3">
    <fill>
      <patternFill patternType="none"/>
    </fill>
    <fill>
      <patternFill patternType="gray125"/>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F3F6F9"/>
        <bgColor indexed="64"/>
      </patternFill>
    </fill>
    <fill>
      <patternFill patternType="solid">
        <fgColor rgb="FFFFF2CC"/>
        <bgColor indexed="64"/>
      </patternFill>
    </fill>
    <fill>
      <patternFill patternType="solid">
        <fgColor rgb="FFE2F0D9"/>
        <bgColor indexed="64"/>
      </patternFill>
    </fill>
    <fill>
      <patternFill patternType="solid">
        <fgColor rgb="FFFFFDF2"/>
        <bgColor indexed="64"/>
      </patternFill>
    </fill>
    <fill>
      <patternFill patternType="solid">
        <fgColor rgb="FF92D050"/>
        <bgColor indexed="64"/>
      </patternFill>
    </fill>
    <fill>
      <patternFill patternType="solid">
        <fgColor rgb="FFEAF2F8"/>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177"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2" borderId="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 applyNumberFormat="0" applyFill="0" applyAlignment="0" applyProtection="0">
      <alignment vertical="center"/>
    </xf>
    <xf numFmtId="0" fontId="23" fillId="0" borderId="2" applyNumberFormat="0" applyFill="0" applyAlignment="0" applyProtection="0">
      <alignment vertical="center"/>
    </xf>
    <xf numFmtId="0" fontId="24" fillId="0" borderId="3" applyNumberFormat="0" applyFill="0" applyAlignment="0" applyProtection="0">
      <alignment vertical="center"/>
    </xf>
    <xf numFmtId="0" fontId="24" fillId="0" borderId="0" applyNumberFormat="0" applyFill="0" applyBorder="0" applyAlignment="0" applyProtection="0">
      <alignment vertical="center"/>
    </xf>
    <xf numFmtId="0" fontId="25" fillId="13" borderId="4" applyNumberFormat="0" applyAlignment="0" applyProtection="0">
      <alignment vertical="center"/>
    </xf>
    <xf numFmtId="0" fontId="26" fillId="14" borderId="5" applyNumberFormat="0" applyAlignment="0" applyProtection="0">
      <alignment vertical="center"/>
    </xf>
    <xf numFmtId="0" fontId="27" fillId="14" borderId="4" applyNumberFormat="0" applyAlignment="0" applyProtection="0">
      <alignment vertical="center"/>
    </xf>
    <xf numFmtId="0" fontId="10" fillId="15" borderId="6" applyNumberFormat="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16" fillId="28" borderId="0" applyNumberFormat="0" applyBorder="0" applyAlignment="0" applyProtection="0">
      <alignment vertical="center"/>
    </xf>
    <xf numFmtId="0" fontId="16"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16" fillId="32" borderId="0" applyNumberFormat="0" applyBorder="0" applyAlignment="0" applyProtection="0">
      <alignment vertical="center"/>
    </xf>
    <xf numFmtId="0" fontId="16"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16" fillId="36" borderId="0" applyNumberFormat="0" applyBorder="0" applyAlignment="0" applyProtection="0">
      <alignment vertical="center"/>
    </xf>
    <xf numFmtId="0" fontId="16" fillId="37"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16" fillId="40" borderId="0" applyNumberFormat="0" applyBorder="0" applyAlignment="0" applyProtection="0">
      <alignment vertical="center"/>
    </xf>
    <xf numFmtId="0" fontId="16" fillId="41" borderId="0" applyNumberFormat="0" applyBorder="0" applyAlignment="0" applyProtection="0">
      <alignment vertical="center"/>
    </xf>
    <xf numFmtId="0" fontId="33" fillId="42" borderId="0" applyNumberFormat="0" applyBorder="0" applyAlignment="0" applyProtection="0">
      <alignment vertical="center"/>
    </xf>
  </cellStyleXfs>
  <cellXfs count="41">
    <xf numFmtId="0" fontId="0" fillId="0" borderId="0" xfId="0"/>
    <xf numFmtId="0" fontId="1" fillId="2" borderId="0" xfId="0" applyNumberFormat="1" applyFont="1" applyFill="1" applyBorder="1" applyAlignment="1">
      <alignment vertical="top"/>
    </xf>
    <xf numFmtId="0" fontId="2" fillId="0" borderId="0" xfId="0" applyNumberFormat="1" applyFont="1" applyFill="1" applyBorder="1" applyAlignment="1">
      <alignment vertical="top"/>
    </xf>
    <xf numFmtId="0" fontId="3" fillId="3" borderId="0" xfId="0" applyNumberFormat="1" applyFont="1" applyFill="1" applyBorder="1" applyAlignment="1">
      <alignment vertical="top" wrapText="1"/>
    </xf>
    <xf numFmtId="0" fontId="2" fillId="0" borderId="0" xfId="0" applyNumberFormat="1" applyFont="1" applyFill="1" applyBorder="1" applyAlignment="1">
      <alignment vertical="top" wrapText="1"/>
    </xf>
    <xf numFmtId="0" fontId="3" fillId="3" borderId="0" xfId="0" applyNumberFormat="1" applyFont="1" applyFill="1" applyBorder="1" applyAlignment="1">
      <alignment vertical="top"/>
    </xf>
    <xf numFmtId="0" fontId="4" fillId="4" borderId="0" xfId="0" applyNumberFormat="1" applyFont="1" applyFill="1" applyBorder="1" applyAlignment="1">
      <alignment vertical="top" wrapText="1"/>
    </xf>
    <xf numFmtId="0" fontId="5" fillId="5" borderId="0" xfId="0" applyNumberFormat="1" applyFont="1" applyFill="1" applyBorder="1" applyAlignment="1">
      <alignment vertical="top" wrapText="1"/>
    </xf>
    <xf numFmtId="178" fontId="2" fillId="0" borderId="0" xfId="0" applyNumberFormat="1" applyFont="1" applyFill="1" applyBorder="1" applyAlignment="1">
      <alignment vertical="top" wrapText="1"/>
    </xf>
    <xf numFmtId="0" fontId="6" fillId="6" borderId="0" xfId="0" applyNumberFormat="1" applyFont="1" applyFill="1" applyBorder="1" applyAlignment="1">
      <alignment vertical="top" wrapText="1"/>
    </xf>
    <xf numFmtId="179" fontId="2" fillId="0" borderId="0" xfId="0" applyNumberFormat="1" applyFont="1" applyFill="1" applyBorder="1" applyAlignment="1">
      <alignment vertical="top" wrapText="1"/>
    </xf>
    <xf numFmtId="0" fontId="6" fillId="7" borderId="0" xfId="0" applyNumberFormat="1" applyFont="1" applyFill="1" applyBorder="1" applyAlignment="1">
      <alignment vertical="top" wrapText="1"/>
    </xf>
    <xf numFmtId="0" fontId="7" fillId="0" borderId="0" xfId="0" applyNumberFormat="1" applyFont="1" applyFill="1" applyBorder="1" applyAlignment="1">
      <alignment vertical="top" wrapText="1"/>
    </xf>
    <xf numFmtId="0" fontId="8" fillId="0" borderId="0" xfId="0" applyNumberFormat="1" applyFont="1" applyFill="1" applyBorder="1" applyAlignment="1">
      <alignment vertical="top"/>
    </xf>
    <xf numFmtId="0" fontId="9" fillId="2" borderId="0" xfId="0" applyNumberFormat="1" applyFont="1" applyFill="1" applyBorder="1" applyAlignment="1">
      <alignment horizontal="left" vertical="center"/>
    </xf>
    <xf numFmtId="0" fontId="10" fillId="3" borderId="0" xfId="0" applyNumberFormat="1" applyFont="1" applyFill="1" applyAlignment="1">
      <alignment vertical="center"/>
    </xf>
    <xf numFmtId="0" fontId="11" fillId="5" borderId="0" xfId="0" applyNumberFormat="1" applyFont="1" applyFill="1" applyAlignment="1">
      <alignment vertical="top" wrapText="1"/>
    </xf>
    <xf numFmtId="0" fontId="12" fillId="2" borderId="0" xfId="0" applyNumberFormat="1" applyFont="1" applyFill="1" applyAlignment="1">
      <alignment horizontal="center" vertical="center" wrapText="1"/>
    </xf>
    <xf numFmtId="0" fontId="12" fillId="5" borderId="0" xfId="0" applyNumberFormat="1" applyFont="1" applyFill="1" applyAlignment="1">
      <alignment horizontal="center" vertical="center" wrapText="1"/>
    </xf>
    <xf numFmtId="0" fontId="12" fillId="8" borderId="0" xfId="0" applyNumberFormat="1" applyFont="1" applyFill="1" applyAlignment="1">
      <alignment horizontal="center" vertical="center" wrapText="1"/>
    </xf>
    <xf numFmtId="0" fontId="0" fillId="0" borderId="0" xfId="0" applyNumberFormat="1" applyFont="1" applyFill="1"/>
    <xf numFmtId="0" fontId="0" fillId="5" borderId="0" xfId="0" applyNumberFormat="1" applyFont="1" applyFill="1" applyAlignment="1">
      <alignment wrapText="1"/>
    </xf>
    <xf numFmtId="0" fontId="0" fillId="8" borderId="0" xfId="0" applyNumberFormat="1" applyFont="1" applyFill="1" applyAlignment="1">
      <alignment wrapText="1"/>
    </xf>
    <xf numFmtId="0" fontId="12" fillId="2" borderId="0" xfId="0" applyNumberFormat="1" applyFont="1" applyFill="1" applyBorder="1" applyAlignment="1">
      <alignment horizontal="center" vertical="center" wrapText="1"/>
    </xf>
    <xf numFmtId="0" fontId="12" fillId="3" borderId="0" xfId="0" applyNumberFormat="1" applyFont="1" applyFill="1" applyAlignment="1">
      <alignment horizontal="center" vertical="center" wrapText="1"/>
    </xf>
    <xf numFmtId="0" fontId="0" fillId="0" borderId="0" xfId="0" applyNumberFormat="1" applyFont="1" applyFill="1" applyAlignment="1">
      <alignment horizontal="center"/>
    </xf>
    <xf numFmtId="178" fontId="0" fillId="0" borderId="0" xfId="0" applyNumberFormat="1" applyFont="1" applyFill="1" applyAlignment="1">
      <alignment horizontal="center"/>
    </xf>
    <xf numFmtId="1" fontId="0" fillId="0" borderId="0" xfId="0" applyNumberFormat="1" applyFont="1" applyFill="1" applyAlignment="1">
      <alignment horizontal="center"/>
    </xf>
    <xf numFmtId="1" fontId="0" fillId="0" borderId="0" xfId="0" applyNumberFormat="1" applyFont="1" applyFill="1"/>
    <xf numFmtId="2" fontId="0" fillId="0" borderId="0" xfId="0" applyNumberFormat="1" applyFont="1" applyFill="1"/>
    <xf numFmtId="3" fontId="0" fillId="0" borderId="0" xfId="0" applyNumberFormat="1" applyFont="1" applyFill="1"/>
    <xf numFmtId="178" fontId="12" fillId="7" borderId="0" xfId="0" applyNumberFormat="1" applyFont="1" applyFill="1" applyAlignment="1">
      <alignment horizontal="center" vertical="center" wrapText="1"/>
    </xf>
    <xf numFmtId="0" fontId="0" fillId="9" borderId="0" xfId="0" applyNumberFormat="1" applyFont="1" applyFill="1" applyAlignment="1">
      <alignment wrapText="1"/>
    </xf>
    <xf numFmtId="0" fontId="0" fillId="0" borderId="0" xfId="0" applyNumberFormat="1" applyFont="1" applyFill="1" applyAlignment="1">
      <alignment wrapText="1"/>
    </xf>
    <xf numFmtId="178" fontId="13" fillId="7" borderId="0" xfId="0" applyNumberFormat="1" applyFont="1" applyFill="1" applyAlignment="1">
      <alignment wrapText="1"/>
    </xf>
    <xf numFmtId="179" fontId="12" fillId="7" borderId="0" xfId="0" applyNumberFormat="1" applyFont="1" applyFill="1" applyAlignment="1">
      <alignment horizontal="center" vertical="center" wrapText="1"/>
    </xf>
    <xf numFmtId="179" fontId="13" fillId="7" borderId="0" xfId="0" applyNumberFormat="1" applyFont="1" applyFill="1" applyAlignment="1">
      <alignment wrapText="1"/>
    </xf>
    <xf numFmtId="0" fontId="14" fillId="6" borderId="0" xfId="0" applyNumberFormat="1" applyFont="1" applyFill="1" applyAlignment="1">
      <alignment vertical="top" wrapText="1"/>
    </xf>
    <xf numFmtId="0" fontId="15" fillId="10" borderId="0" xfId="0" applyNumberFormat="1" applyFont="1" applyFill="1" applyBorder="1" applyAlignment="1">
      <alignment vertical="top"/>
    </xf>
    <xf numFmtId="0" fontId="6" fillId="5" borderId="0" xfId="0" applyNumberFormat="1" applyFont="1" applyFill="1" applyBorder="1" applyAlignment="1">
      <alignment vertical="top" wrapText="1"/>
    </xf>
    <xf numFmtId="0" fontId="6" fillId="11"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No Protection vs. Protection</a:t>
            </a:r>
            <a:endParaRPr sz="1400" b="0" i="0" u="none">
              <a:solidFill>
                <a:schemeClr val="tx1">
                  <a:lumMod val="65000"/>
                  <a:lumOff val="35000"/>
                </a:schemeClr>
              </a:solidFill>
              <a:latin typeface="+mn-lt"/>
              <a:ea typeface="+mn-lt"/>
              <a:cs typeface="+mn-lt"/>
            </a:endParaRPr>
          </a:p>
        </c:rich>
      </c:tx>
      <c:layout/>
      <c:overlay val="0"/>
    </c:title>
    <c:autoTitleDeleted val="0"/>
    <c:plotArea>
      <c:layout/>
      <c:lineChart>
        <c:grouping val="standard"/>
        <c:varyColors val="0"/>
        <c:ser>
          <c:idx val="0"/>
          <c:order val="0"/>
          <c:tx>
            <c:strRef>
              <c:f>'1Healthcare'!$Q$1</c:f>
              <c:strCache>
                <c:ptCount val="1"/>
                <c:pt idx="0">
                  <c:v>St</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val>
            <c:numRef>
              <c:f>'1Healthcare'!$Q$2:$Q$101</c:f>
              <c:numCache>
                <c:formatCode>0</c:formatCode>
                <c:ptCount val="100"/>
                <c:pt idx="0">
                  <c:v>95</c:v>
                </c:pt>
                <c:pt idx="1">
                  <c:v>82</c:v>
                </c:pt>
                <c:pt idx="2">
                  <c:v>47</c:v>
                </c:pt>
                <c:pt idx="3">
                  <c:v>13</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1"/>
        </c:ser>
        <c:ser>
          <c:idx val="1"/>
          <c:order val="1"/>
          <c:tx>
            <c:strRef>
              <c:f>'1Healthcare'!$R$1</c:f>
              <c:strCache>
                <c:ptCount val="1"/>
                <c:pt idx="0">
                  <c:v>It</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val>
            <c:numRef>
              <c:f>'1Healthcare'!$R$2:$R$101</c:f>
              <c:numCache>
                <c:formatCode>0</c:formatCode>
                <c:ptCount val="100"/>
                <c:pt idx="0">
                  <c:v>5</c:v>
                </c:pt>
                <c:pt idx="1">
                  <c:v>18</c:v>
                </c:pt>
                <c:pt idx="2">
                  <c:v>50</c:v>
                </c:pt>
                <c:pt idx="3">
                  <c:v>77</c:v>
                </c:pt>
                <c:pt idx="4">
                  <c:v>83</c:v>
                </c:pt>
                <c:pt idx="5">
                  <c:v>72</c:v>
                </c:pt>
                <c:pt idx="6">
                  <c:v>65</c:v>
                </c:pt>
                <c:pt idx="7">
                  <c:v>58</c:v>
                </c:pt>
                <c:pt idx="8">
                  <c:v>56</c:v>
                </c:pt>
                <c:pt idx="9">
                  <c:v>48</c:v>
                </c:pt>
                <c:pt idx="10">
                  <c:v>40</c:v>
                </c:pt>
                <c:pt idx="11">
                  <c:v>31</c:v>
                </c:pt>
                <c:pt idx="12">
                  <c:v>29</c:v>
                </c:pt>
                <c:pt idx="13">
                  <c:v>26</c:v>
                </c:pt>
                <c:pt idx="14">
                  <c:v>25</c:v>
                </c:pt>
                <c:pt idx="15">
                  <c:v>24</c:v>
                </c:pt>
                <c:pt idx="16">
                  <c:v>20</c:v>
                </c:pt>
                <c:pt idx="17">
                  <c:v>16</c:v>
                </c:pt>
                <c:pt idx="18">
                  <c:v>14</c:v>
                </c:pt>
                <c:pt idx="19">
                  <c:v>14</c:v>
                </c:pt>
                <c:pt idx="20">
                  <c:v>13</c:v>
                </c:pt>
                <c:pt idx="21">
                  <c:v>12</c:v>
                </c:pt>
                <c:pt idx="22">
                  <c:v>12</c:v>
                </c:pt>
                <c:pt idx="23">
                  <c:v>8</c:v>
                </c:pt>
                <c:pt idx="24">
                  <c:v>7</c:v>
                </c:pt>
                <c:pt idx="25">
                  <c:v>7</c:v>
                </c:pt>
                <c:pt idx="26">
                  <c:v>7</c:v>
                </c:pt>
                <c:pt idx="27">
                  <c:v>5</c:v>
                </c:pt>
                <c:pt idx="28">
                  <c:v>5</c:v>
                </c:pt>
                <c:pt idx="29">
                  <c:v>4</c:v>
                </c:pt>
                <c:pt idx="30">
                  <c:v>3</c:v>
                </c:pt>
                <c:pt idx="31">
                  <c:v>3</c:v>
                </c:pt>
                <c:pt idx="32">
                  <c:v>3</c:v>
                </c:pt>
                <c:pt idx="33">
                  <c:v>3</c:v>
                </c:pt>
                <c:pt idx="34">
                  <c:v>3</c:v>
                </c:pt>
                <c:pt idx="35">
                  <c:v>3</c:v>
                </c:pt>
                <c:pt idx="36">
                  <c:v>3</c:v>
                </c:pt>
                <c:pt idx="37">
                  <c:v>3</c:v>
                </c:pt>
                <c:pt idx="38">
                  <c:v>3</c:v>
                </c:pt>
                <c:pt idx="39">
                  <c:v>2</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1"/>
        </c:ser>
        <c:ser>
          <c:idx val="2"/>
          <c:order val="2"/>
          <c:tx>
            <c:strRef>
              <c:f>'1Healthcare'!$S$1</c:f>
              <c:strCache>
                <c:ptCount val="1"/>
                <c:pt idx="0">
                  <c:v>Dt</c:v>
                </c:pt>
              </c:strCache>
            </c:strRef>
          </c:tx>
          <c:spPr>
            <a:ln w="28575" cap="rnd">
              <a:solidFill>
                <a:schemeClr val="accent3"/>
              </a:solidFill>
              <a:prstDash val="solid"/>
              <a:round/>
            </a:ln>
          </c:spPr>
          <c:marker>
            <c:symbol val="circle"/>
            <c:size val="5"/>
            <c:spPr>
              <a:solidFill>
                <a:schemeClr val="accent3"/>
              </a:solidFill>
              <a:ln w="9525">
                <a:solidFill>
                  <a:schemeClr val="accent3"/>
                </a:solidFill>
                <a:prstDash val="solid"/>
                <a:round/>
              </a:ln>
            </c:spPr>
          </c:marker>
          <c:dLbls>
            <c:delete val="1"/>
          </c:dLbls>
          <c:val>
            <c:numRef>
              <c:f>'1Healthcare'!$S$2:$S$101</c:f>
              <c:numCache>
                <c:formatCode>0</c:formatCode>
                <c:ptCount val="100"/>
                <c:pt idx="0">
                  <c:v>0</c:v>
                </c:pt>
                <c:pt idx="1">
                  <c:v>0</c:v>
                </c:pt>
                <c:pt idx="2">
                  <c:v>3</c:v>
                </c:pt>
                <c:pt idx="3">
                  <c:v>10</c:v>
                </c:pt>
                <c:pt idx="4">
                  <c:v>16</c:v>
                </c:pt>
                <c:pt idx="5">
                  <c:v>28</c:v>
                </c:pt>
                <c:pt idx="6">
                  <c:v>35</c:v>
                </c:pt>
                <c:pt idx="7">
                  <c:v>42</c:v>
                </c:pt>
                <c:pt idx="8">
                  <c:v>44</c:v>
                </c:pt>
                <c:pt idx="9">
                  <c:v>52</c:v>
                </c:pt>
                <c:pt idx="10">
                  <c:v>60</c:v>
                </c:pt>
                <c:pt idx="11">
                  <c:v>69</c:v>
                </c:pt>
                <c:pt idx="12">
                  <c:v>71</c:v>
                </c:pt>
                <c:pt idx="13">
                  <c:v>74</c:v>
                </c:pt>
                <c:pt idx="14">
                  <c:v>75</c:v>
                </c:pt>
                <c:pt idx="15">
                  <c:v>76</c:v>
                </c:pt>
                <c:pt idx="16">
                  <c:v>80</c:v>
                </c:pt>
                <c:pt idx="17">
                  <c:v>84</c:v>
                </c:pt>
                <c:pt idx="18">
                  <c:v>86</c:v>
                </c:pt>
                <c:pt idx="19">
                  <c:v>86</c:v>
                </c:pt>
                <c:pt idx="20">
                  <c:v>87</c:v>
                </c:pt>
                <c:pt idx="21">
                  <c:v>88</c:v>
                </c:pt>
                <c:pt idx="22">
                  <c:v>88</c:v>
                </c:pt>
                <c:pt idx="23">
                  <c:v>92</c:v>
                </c:pt>
                <c:pt idx="24">
                  <c:v>93</c:v>
                </c:pt>
                <c:pt idx="25">
                  <c:v>93</c:v>
                </c:pt>
                <c:pt idx="26">
                  <c:v>93</c:v>
                </c:pt>
                <c:pt idx="27">
                  <c:v>95</c:v>
                </c:pt>
                <c:pt idx="28">
                  <c:v>95</c:v>
                </c:pt>
                <c:pt idx="29">
                  <c:v>96</c:v>
                </c:pt>
                <c:pt idx="30">
                  <c:v>97</c:v>
                </c:pt>
                <c:pt idx="31">
                  <c:v>97</c:v>
                </c:pt>
                <c:pt idx="32">
                  <c:v>97</c:v>
                </c:pt>
                <c:pt idx="33">
                  <c:v>97</c:v>
                </c:pt>
                <c:pt idx="34">
                  <c:v>97</c:v>
                </c:pt>
                <c:pt idx="35">
                  <c:v>97</c:v>
                </c:pt>
                <c:pt idx="36">
                  <c:v>97</c:v>
                </c:pt>
                <c:pt idx="37">
                  <c:v>97</c:v>
                </c:pt>
                <c:pt idx="38">
                  <c:v>97</c:v>
                </c:pt>
                <c:pt idx="39">
                  <c:v>98</c:v>
                </c:pt>
                <c:pt idx="40">
                  <c:v>99</c:v>
                </c:pt>
                <c:pt idx="41">
                  <c:v>99</c:v>
                </c:pt>
                <c:pt idx="42">
                  <c:v>99</c:v>
                </c:pt>
                <c:pt idx="43">
                  <c:v>99</c:v>
                </c:pt>
                <c:pt idx="44">
                  <c:v>99</c:v>
                </c:pt>
                <c:pt idx="45">
                  <c:v>99</c:v>
                </c:pt>
                <c:pt idx="46">
                  <c:v>99</c:v>
                </c:pt>
                <c:pt idx="47">
                  <c:v>99</c:v>
                </c:pt>
                <c:pt idx="48">
                  <c:v>99</c:v>
                </c:pt>
                <c:pt idx="49">
                  <c:v>99</c:v>
                </c:pt>
                <c:pt idx="50">
                  <c:v>99</c:v>
                </c:pt>
                <c:pt idx="51">
                  <c:v>99</c:v>
                </c:pt>
                <c:pt idx="52">
                  <c:v>99</c:v>
                </c:pt>
                <c:pt idx="53">
                  <c:v>99</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numCache>
            </c:numRef>
          </c:val>
          <c:smooth val="1"/>
        </c:ser>
        <c:ser>
          <c:idx val="3"/>
          <c:order val="3"/>
          <c:tx>
            <c:strRef>
              <c:f>'1Healthcare'!$AR$1</c:f>
              <c:strCache>
                <c:ptCount val="1"/>
                <c:pt idx="0">
                  <c:v>St_protection</c:v>
                </c:pt>
              </c:strCache>
            </c:strRef>
          </c:tx>
          <c:spPr>
            <a:ln w="28575" cap="rnd">
              <a:solidFill>
                <a:schemeClr val="accent4"/>
              </a:solidFill>
              <a:prstDash val="solid"/>
              <a:round/>
            </a:ln>
          </c:spPr>
          <c:marker>
            <c:symbol val="circle"/>
            <c:size val="5"/>
            <c:spPr>
              <a:solidFill>
                <a:schemeClr val="accent4"/>
              </a:solidFill>
              <a:ln w="9525">
                <a:solidFill>
                  <a:schemeClr val="accent4"/>
                </a:solidFill>
                <a:prstDash val="solid"/>
                <a:round/>
              </a:ln>
            </c:spPr>
          </c:marker>
          <c:dLbls>
            <c:delete val="1"/>
          </c:dLbls>
          <c:val>
            <c:numRef>
              <c:f>'1Healthcare'!$AR$2:$AR$101</c:f>
              <c:numCache>
                <c:formatCode>0</c:formatCode>
                <c:ptCount val="100"/>
                <c:pt idx="0">
                  <c:v>95</c:v>
                </c:pt>
                <c:pt idx="1">
                  <c:v>92</c:v>
                </c:pt>
                <c:pt idx="2">
                  <c:v>88</c:v>
                </c:pt>
                <c:pt idx="3">
                  <c:v>81</c:v>
                </c:pt>
                <c:pt idx="4">
                  <c:v>72</c:v>
                </c:pt>
                <c:pt idx="5">
                  <c:v>66</c:v>
                </c:pt>
                <c:pt idx="6">
                  <c:v>63</c:v>
                </c:pt>
                <c:pt idx="7">
                  <c:v>53</c:v>
                </c:pt>
                <c:pt idx="8">
                  <c:v>43</c:v>
                </c:pt>
                <c:pt idx="9">
                  <c:v>33</c:v>
                </c:pt>
                <c:pt idx="10">
                  <c:v>27</c:v>
                </c:pt>
                <c:pt idx="11">
                  <c:v>22</c:v>
                </c:pt>
                <c:pt idx="12">
                  <c:v>17</c:v>
                </c:pt>
                <c:pt idx="13">
                  <c:v>10</c:v>
                </c:pt>
                <c:pt idx="14">
                  <c:v>7</c:v>
                </c:pt>
                <c:pt idx="15">
                  <c:v>6</c:v>
                </c:pt>
                <c:pt idx="16">
                  <c:v>4</c:v>
                </c:pt>
                <c:pt idx="17">
                  <c:v>4</c:v>
                </c:pt>
                <c:pt idx="18">
                  <c:v>3</c:v>
                </c:pt>
                <c:pt idx="19">
                  <c:v>1</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1"/>
        </c:ser>
        <c:ser>
          <c:idx val="4"/>
          <c:order val="4"/>
          <c:tx>
            <c:strRef>
              <c:f>'1Healthcare'!$AS$1</c:f>
              <c:strCache>
                <c:ptCount val="1"/>
                <c:pt idx="0">
                  <c:v>It_protection</c:v>
                </c:pt>
              </c:strCache>
            </c:strRef>
          </c:tx>
          <c:spPr>
            <a:ln w="28575" cap="rnd">
              <a:solidFill>
                <a:schemeClr val="accent5"/>
              </a:solidFill>
              <a:prstDash val="solid"/>
              <a:round/>
            </a:ln>
          </c:spPr>
          <c:marker>
            <c:symbol val="circle"/>
            <c:size val="5"/>
            <c:spPr>
              <a:solidFill>
                <a:schemeClr val="accent5"/>
              </a:solidFill>
              <a:ln w="9525">
                <a:solidFill>
                  <a:schemeClr val="accent5"/>
                </a:solidFill>
                <a:prstDash val="solid"/>
                <a:round/>
              </a:ln>
            </c:spPr>
          </c:marker>
          <c:dLbls>
            <c:delete val="1"/>
          </c:dLbls>
          <c:val>
            <c:numRef>
              <c:f>'1Healthcare'!$AS$2:$AS$101</c:f>
              <c:numCache>
                <c:formatCode>0</c:formatCode>
                <c:ptCount val="100"/>
                <c:pt idx="0">
                  <c:v>5</c:v>
                </c:pt>
                <c:pt idx="1">
                  <c:v>8</c:v>
                </c:pt>
                <c:pt idx="2">
                  <c:v>12</c:v>
                </c:pt>
                <c:pt idx="3">
                  <c:v>19</c:v>
                </c:pt>
                <c:pt idx="4">
                  <c:v>26</c:v>
                </c:pt>
                <c:pt idx="5">
                  <c:v>31</c:v>
                </c:pt>
                <c:pt idx="6">
                  <c:v>29</c:v>
                </c:pt>
                <c:pt idx="7">
                  <c:v>34</c:v>
                </c:pt>
                <c:pt idx="8">
                  <c:v>43</c:v>
                </c:pt>
                <c:pt idx="9">
                  <c:v>46</c:v>
                </c:pt>
                <c:pt idx="10">
                  <c:v>43</c:v>
                </c:pt>
                <c:pt idx="11">
                  <c:v>46</c:v>
                </c:pt>
                <c:pt idx="12">
                  <c:v>49</c:v>
                </c:pt>
                <c:pt idx="13">
                  <c:v>51</c:v>
                </c:pt>
                <c:pt idx="14">
                  <c:v>44</c:v>
                </c:pt>
                <c:pt idx="15">
                  <c:v>42</c:v>
                </c:pt>
                <c:pt idx="16">
                  <c:v>40</c:v>
                </c:pt>
                <c:pt idx="17">
                  <c:v>37</c:v>
                </c:pt>
                <c:pt idx="18">
                  <c:v>34</c:v>
                </c:pt>
                <c:pt idx="19">
                  <c:v>35</c:v>
                </c:pt>
                <c:pt idx="20">
                  <c:v>32</c:v>
                </c:pt>
                <c:pt idx="21">
                  <c:v>29</c:v>
                </c:pt>
                <c:pt idx="22">
                  <c:v>24</c:v>
                </c:pt>
                <c:pt idx="23">
                  <c:v>23</c:v>
                </c:pt>
                <c:pt idx="24">
                  <c:v>22</c:v>
                </c:pt>
                <c:pt idx="25">
                  <c:v>20</c:v>
                </c:pt>
                <c:pt idx="26">
                  <c:v>20</c:v>
                </c:pt>
                <c:pt idx="27">
                  <c:v>17</c:v>
                </c:pt>
                <c:pt idx="28">
                  <c:v>15</c:v>
                </c:pt>
                <c:pt idx="29">
                  <c:v>13</c:v>
                </c:pt>
                <c:pt idx="30">
                  <c:v>11</c:v>
                </c:pt>
                <c:pt idx="31">
                  <c:v>10</c:v>
                </c:pt>
                <c:pt idx="32">
                  <c:v>10</c:v>
                </c:pt>
                <c:pt idx="33">
                  <c:v>8</c:v>
                </c:pt>
                <c:pt idx="34">
                  <c:v>8</c:v>
                </c:pt>
                <c:pt idx="35">
                  <c:v>6</c:v>
                </c:pt>
                <c:pt idx="36">
                  <c:v>5</c:v>
                </c:pt>
                <c:pt idx="37">
                  <c:v>5</c:v>
                </c:pt>
                <c:pt idx="38">
                  <c:v>4</c:v>
                </c:pt>
                <c:pt idx="39">
                  <c:v>3</c:v>
                </c:pt>
                <c:pt idx="40">
                  <c:v>3</c:v>
                </c:pt>
                <c:pt idx="41">
                  <c:v>3</c:v>
                </c:pt>
                <c:pt idx="42">
                  <c:v>3</c:v>
                </c:pt>
                <c:pt idx="43">
                  <c:v>2</c:v>
                </c:pt>
                <c:pt idx="44">
                  <c:v>1</c:v>
                </c:pt>
                <c:pt idx="45">
                  <c:v>1</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1"/>
        </c:ser>
        <c:ser>
          <c:idx val="5"/>
          <c:order val="5"/>
          <c:tx>
            <c:strRef>
              <c:f>'1Healthcare'!$AT$1</c:f>
              <c:strCache>
                <c:ptCount val="1"/>
                <c:pt idx="0">
                  <c:v>Dt_protection</c:v>
                </c:pt>
              </c:strCache>
            </c:strRef>
          </c:tx>
          <c:spPr>
            <a:ln w="28575" cap="rnd">
              <a:solidFill>
                <a:schemeClr val="accent6"/>
              </a:solidFill>
              <a:prstDash val="solid"/>
              <a:round/>
            </a:ln>
          </c:spPr>
          <c:marker>
            <c:symbol val="circle"/>
            <c:size val="5"/>
            <c:spPr>
              <a:solidFill>
                <a:schemeClr val="accent6"/>
              </a:solidFill>
              <a:ln w="9525">
                <a:solidFill>
                  <a:schemeClr val="accent6"/>
                </a:solidFill>
                <a:prstDash val="solid"/>
                <a:round/>
              </a:ln>
            </c:spPr>
          </c:marker>
          <c:dLbls>
            <c:delete val="1"/>
          </c:dLbls>
          <c:val>
            <c:numRef>
              <c:f>'1Healthcare'!$AT$2:$AT$101</c:f>
              <c:numCache>
                <c:formatCode>0</c:formatCode>
                <c:ptCount val="100"/>
                <c:pt idx="0">
                  <c:v>0</c:v>
                </c:pt>
                <c:pt idx="1">
                  <c:v>0</c:v>
                </c:pt>
                <c:pt idx="2">
                  <c:v>0</c:v>
                </c:pt>
                <c:pt idx="3">
                  <c:v>0</c:v>
                </c:pt>
                <c:pt idx="4">
                  <c:v>2</c:v>
                </c:pt>
                <c:pt idx="5">
                  <c:v>3</c:v>
                </c:pt>
                <c:pt idx="6">
                  <c:v>8</c:v>
                </c:pt>
                <c:pt idx="7">
                  <c:v>13</c:v>
                </c:pt>
                <c:pt idx="8">
                  <c:v>14</c:v>
                </c:pt>
                <c:pt idx="9">
                  <c:v>21</c:v>
                </c:pt>
                <c:pt idx="10">
                  <c:v>30</c:v>
                </c:pt>
                <c:pt idx="11">
                  <c:v>32</c:v>
                </c:pt>
                <c:pt idx="12">
                  <c:v>34</c:v>
                </c:pt>
                <c:pt idx="13">
                  <c:v>39</c:v>
                </c:pt>
                <c:pt idx="14">
                  <c:v>49</c:v>
                </c:pt>
                <c:pt idx="15">
                  <c:v>52</c:v>
                </c:pt>
                <c:pt idx="16">
                  <c:v>56</c:v>
                </c:pt>
                <c:pt idx="17">
                  <c:v>59</c:v>
                </c:pt>
                <c:pt idx="18">
                  <c:v>63</c:v>
                </c:pt>
                <c:pt idx="19">
                  <c:v>64</c:v>
                </c:pt>
                <c:pt idx="20">
                  <c:v>68</c:v>
                </c:pt>
                <c:pt idx="21">
                  <c:v>71</c:v>
                </c:pt>
                <c:pt idx="22">
                  <c:v>76</c:v>
                </c:pt>
                <c:pt idx="23">
                  <c:v>77</c:v>
                </c:pt>
                <c:pt idx="24">
                  <c:v>78</c:v>
                </c:pt>
                <c:pt idx="25">
                  <c:v>80</c:v>
                </c:pt>
                <c:pt idx="26">
                  <c:v>80</c:v>
                </c:pt>
                <c:pt idx="27">
                  <c:v>83</c:v>
                </c:pt>
                <c:pt idx="28">
                  <c:v>85</c:v>
                </c:pt>
                <c:pt idx="29">
                  <c:v>87</c:v>
                </c:pt>
                <c:pt idx="30">
                  <c:v>89</c:v>
                </c:pt>
                <c:pt idx="31">
                  <c:v>90</c:v>
                </c:pt>
                <c:pt idx="32">
                  <c:v>90</c:v>
                </c:pt>
                <c:pt idx="33">
                  <c:v>92</c:v>
                </c:pt>
                <c:pt idx="34">
                  <c:v>92</c:v>
                </c:pt>
                <c:pt idx="35">
                  <c:v>94</c:v>
                </c:pt>
                <c:pt idx="36">
                  <c:v>95</c:v>
                </c:pt>
                <c:pt idx="37">
                  <c:v>95</c:v>
                </c:pt>
                <c:pt idx="38">
                  <c:v>96</c:v>
                </c:pt>
                <c:pt idx="39">
                  <c:v>97</c:v>
                </c:pt>
                <c:pt idx="40">
                  <c:v>97</c:v>
                </c:pt>
                <c:pt idx="41">
                  <c:v>97</c:v>
                </c:pt>
                <c:pt idx="42">
                  <c:v>97</c:v>
                </c:pt>
                <c:pt idx="43">
                  <c:v>98</c:v>
                </c:pt>
                <c:pt idx="44">
                  <c:v>99</c:v>
                </c:pt>
                <c:pt idx="45">
                  <c:v>99</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numCache>
            </c:numRef>
          </c:val>
          <c:smooth val="1"/>
        </c:ser>
        <c:dLbls>
          <c:showLegendKey val="0"/>
          <c:showVal val="0"/>
          <c:showCatName val="0"/>
          <c:showSerName val="0"/>
          <c:showPercent val="0"/>
          <c:showBubbleSize val="0"/>
        </c:dLbls>
        <c:marker val="1"/>
        <c:smooth val="1"/>
        <c:axId val="1398052159"/>
        <c:axId val="1488844655"/>
      </c:lineChart>
      <c:catAx>
        <c:axId val="1398052159"/>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488844655"/>
        <c:crosses val="autoZero"/>
        <c:auto val="1"/>
        <c:lblAlgn val="ctr"/>
        <c:lblOffset val="100"/>
        <c:noMultiLvlLbl val="0"/>
      </c:catAx>
      <c:valAx>
        <c:axId val="1488844655"/>
        <c:scaling>
          <c:orientation val="minMax"/>
        </c:scaling>
        <c:delete val="0"/>
        <c:axPos val="l"/>
        <c:majorGridlines>
          <c:spPr>
            <a:ln w="9525" cmpd="sng">
              <a:solidFill>
                <a:schemeClr val="tx1">
                  <a:lumMod val="15000"/>
                  <a:lumOff val="85000"/>
                </a:schemeClr>
              </a:solidFill>
              <a:prstDash val="solid"/>
              <a:round/>
            </a:ln>
          </c:spPr>
        </c:majorGridlines>
        <c:numFmt formatCode="0" sourceLinked="1"/>
        <c:majorTickMark val="none"/>
        <c:minorTickMark val="none"/>
        <c:tickLblPos val="nextTo"/>
        <c:spPr>
          <a:ln w="6350">
            <a:no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398052159"/>
        <c:crosses val="autoZero"/>
        <c:crossBetween val="between"/>
      </c:valAx>
      <c:spPr>
        <a:noFill/>
        <a:ln>
          <a:noFill/>
        </a:ln>
      </c:spPr>
    </c:plotArea>
    <c:legend>
      <c:legendPos val="b"/>
      <c:layout/>
      <c:overlay val="0"/>
      <c:spPr>
        <a:noFill/>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legend>
    <c:plotVisOnly val="1"/>
    <c:dispBlanksAs val="gap"/>
    <c:showDLblsOverMax val="0"/>
    <c:extLst>
      <c:ext uri="{0b15fc19-7d7d-44ad-8c2d-2c3a37ce22c3}">
        <chartProps xmlns="https://web.wps.cn/et/2018/main" chartId="{cf3ab4cf-96f9-4c7c-9b30-05c190f5bed1}"/>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Outcome Comparison: No Protection vs Protection</a:t>
            </a:r>
          </a:p>
        </c:rich>
      </c:tx>
      <c:layout/>
      <c:overlay val="0"/>
    </c:title>
    <c:autoTitleDeleted val="0"/>
    <c:plotArea>
      <c:layout/>
      <c:barChart>
        <c:barDir val="col"/>
        <c:grouping val="clustered"/>
        <c:varyColors val="0"/>
        <c:ser>
          <c:idx val="0"/>
          <c:order val="0"/>
          <c:tx>
            <c:strRef>
              <c:f>"No Protection"</c:f>
              <c:strCache>
                <c:ptCount val="1"/>
                <c:pt idx="0">
                  <c:v>No Protection</c:v>
                </c:pt>
              </c:strCache>
            </c:strRef>
          </c:tx>
          <c:invertIfNegative val="0"/>
          <c:dLbls>
            <c:delete val="1"/>
          </c:dLbls>
          <c:cat>
            <c:strRef>
              <c:f>'02_Results_Dashboard'!$A$6:$A$8</c:f>
              <c:strCache>
                <c:ptCount val="3"/>
                <c:pt idx="0">
                  <c:v>Population die-out probability</c:v>
                </c:pt>
                <c:pt idx="1">
                  <c:v>Disease die-out probability</c:v>
                </c:pt>
                <c:pt idx="2">
                  <c:v>Average cumulative infection rate</c:v>
                </c:pt>
              </c:strCache>
            </c:strRef>
          </c:cat>
          <c:val>
            <c:numRef>
              <c:f>'02_Results_Dashboard'!$B$6:$B$8</c:f>
              <c:numCache>
                <c:formatCode>0.000</c:formatCode>
                <c:ptCount val="3"/>
                <c:pt idx="0">
                  <c:v>0.993</c:v>
                </c:pt>
                <c:pt idx="1">
                  <c:v>0.993</c:v>
                </c:pt>
                <c:pt idx="2">
                  <c:v>1</c:v>
                </c:pt>
              </c:numCache>
            </c:numRef>
          </c:val>
        </c:ser>
        <c:ser>
          <c:idx val="1"/>
          <c:order val="1"/>
          <c:tx>
            <c:strRef>
              <c:f>"Protection"</c:f>
              <c:strCache>
                <c:ptCount val="1"/>
                <c:pt idx="0">
                  <c:v>Protection</c:v>
                </c:pt>
              </c:strCache>
            </c:strRef>
          </c:tx>
          <c:invertIfNegative val="0"/>
          <c:dLbls>
            <c:delete val="1"/>
          </c:dLbls>
          <c:cat>
            <c:strRef>
              <c:f>'02_Results_Dashboard'!$A$6:$A$8</c:f>
              <c:strCache>
                <c:ptCount val="3"/>
                <c:pt idx="0">
                  <c:v>Population die-out probability</c:v>
                </c:pt>
                <c:pt idx="1">
                  <c:v>Disease die-out probability</c:v>
                </c:pt>
                <c:pt idx="2">
                  <c:v>Average cumulative infection rate</c:v>
                </c:pt>
              </c:strCache>
            </c:strRef>
          </c:cat>
          <c:val>
            <c:numRef>
              <c:f>'02_Results_Dashboard'!$C$6:$C$8</c:f>
              <c:numCache>
                <c:formatCode>0.000</c:formatCode>
                <c:ptCount val="3"/>
                <c:pt idx="0">
                  <c:v>0.56</c:v>
                </c:pt>
                <c:pt idx="1">
                  <c:v>0.996</c:v>
                </c:pt>
                <c:pt idx="2">
                  <c:v>0.993520000000004</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0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385708a-1874-4551-8ef4-03b4406c755c}"/>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Average Cumulative Tax Revenue</a:t>
            </a:r>
          </a:p>
        </c:rich>
      </c:tx>
      <c:layout/>
      <c:overlay val="0"/>
    </c:title>
    <c:autoTitleDeleted val="0"/>
    <c:plotArea>
      <c:layout/>
      <c:barChart>
        <c:barDir val="col"/>
        <c:grouping val="clustered"/>
        <c:varyColors val="0"/>
        <c:ser>
          <c:idx val="0"/>
          <c:order val="0"/>
          <c:tx>
            <c:strRef>
              <c:f>"Tax ($000s)"</c:f>
              <c:strCache>
                <c:ptCount val="1"/>
                <c:pt idx="0">
                  <c:v>Tax ($000s)</c:v>
                </c:pt>
              </c:strCache>
            </c:strRef>
          </c:tx>
          <c:invertIfNegative val="0"/>
          <c:dLbls>
            <c:delete val="1"/>
          </c:dLbls>
          <c:cat>
            <c:strRef>
              <c:f>'02_Results_Dashboard'!$I$36:$I$37</c:f>
              <c:strCache>
                <c:ptCount val="2"/>
                <c:pt idx="0">
                  <c:v>No Protection</c:v>
                </c:pt>
                <c:pt idx="1">
                  <c:v>Protection</c:v>
                </c:pt>
              </c:strCache>
            </c:strRef>
          </c:cat>
          <c:val>
            <c:numRef>
              <c:f>'02_Results_Dashboard'!$J$36:$J$37</c:f>
              <c:numCache>
                <c:formatCode>General</c:formatCode>
                <c:ptCount val="2"/>
                <c:pt idx="0">
                  <c:v>12608.37</c:v>
                </c:pt>
                <c:pt idx="1">
                  <c:v>17138.71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a2679110-f9c0-4c1f-9215-d0669eef13ff}"/>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Convergence: Population Die-Out Probability</a:t>
            </a:r>
          </a:p>
        </c:rich>
      </c:tx>
      <c:layout/>
      <c:overlay val="0"/>
    </c:title>
    <c:autoTitleDeleted val="0"/>
    <c:plotArea>
      <c:layout/>
      <c:lineChart>
        <c:grouping val="standard"/>
        <c:varyColors val="0"/>
        <c:ser>
          <c:idx val="0"/>
          <c:order val="0"/>
          <c:tx>
            <c:strRef>
              <c:f>"Pop. die-out
No Protection"</c:f>
              <c:strCache>
                <c:ptCount val="1"/>
                <c:pt idx="0">
                  <c:v>Pop. die-out
No Protection</c:v>
                </c:pt>
              </c:strCache>
            </c:strRef>
          </c:tx>
          <c:marker>
            <c:symbol val="none"/>
          </c:marker>
          <c:dLbls>
            <c:delete val="1"/>
          </c:dLbls>
          <c:cat>
            <c:numRef>
              <c:f>'03_Convergence'!$A$7:$A$12</c:f>
              <c:numCache>
                <c:formatCode>General</c:formatCode>
                <c:ptCount val="6"/>
                <c:pt idx="0">
                  <c:v>50</c:v>
                </c:pt>
                <c:pt idx="1">
                  <c:v>100</c:v>
                </c:pt>
                <c:pt idx="2">
                  <c:v>250</c:v>
                </c:pt>
                <c:pt idx="3">
                  <c:v>500</c:v>
                </c:pt>
                <c:pt idx="4">
                  <c:v>750</c:v>
                </c:pt>
                <c:pt idx="5">
                  <c:v>1000</c:v>
                </c:pt>
              </c:numCache>
            </c:numRef>
          </c:cat>
          <c:val>
            <c:numRef>
              <c:f>'03_Convergence'!$B$7:$B$12</c:f>
              <c:numCache>
                <c:formatCode>0.000</c:formatCode>
                <c:ptCount val="6"/>
                <c:pt idx="0">
                  <c:v>1</c:v>
                </c:pt>
                <c:pt idx="1">
                  <c:v>0.99</c:v>
                </c:pt>
                <c:pt idx="2">
                  <c:v>0.988</c:v>
                </c:pt>
                <c:pt idx="3">
                  <c:v>0.99</c:v>
                </c:pt>
                <c:pt idx="4">
                  <c:v>0.992</c:v>
                </c:pt>
                <c:pt idx="5">
                  <c:v>0.993</c:v>
                </c:pt>
              </c:numCache>
            </c:numRef>
          </c:val>
          <c:smooth val="1"/>
        </c:ser>
        <c:ser>
          <c:idx val="1"/>
          <c:order val="1"/>
          <c:tx>
            <c:strRef>
              <c:f>"Pop. die-out
Protection"</c:f>
              <c:strCache>
                <c:ptCount val="1"/>
                <c:pt idx="0">
                  <c:v>Pop. die-out
Protection</c:v>
                </c:pt>
              </c:strCache>
            </c:strRef>
          </c:tx>
          <c:marker>
            <c:symbol val="none"/>
          </c:marker>
          <c:dLbls>
            <c:delete val="1"/>
          </c:dLbls>
          <c:cat>
            <c:numRef>
              <c:f>'03_Convergence'!$A$7:$A$12</c:f>
              <c:numCache>
                <c:formatCode>General</c:formatCode>
                <c:ptCount val="6"/>
                <c:pt idx="0">
                  <c:v>50</c:v>
                </c:pt>
                <c:pt idx="1">
                  <c:v>100</c:v>
                </c:pt>
                <c:pt idx="2">
                  <c:v>250</c:v>
                </c:pt>
                <c:pt idx="3">
                  <c:v>500</c:v>
                </c:pt>
                <c:pt idx="4">
                  <c:v>750</c:v>
                </c:pt>
                <c:pt idx="5">
                  <c:v>1000</c:v>
                </c:pt>
              </c:numCache>
            </c:numRef>
          </c:cat>
          <c:val>
            <c:numRef>
              <c:f>'03_Convergence'!$C$7:$C$12</c:f>
              <c:numCache>
                <c:formatCode>0.000</c:formatCode>
                <c:ptCount val="6"/>
                <c:pt idx="0">
                  <c:v>0.58</c:v>
                </c:pt>
                <c:pt idx="1">
                  <c:v>0.56</c:v>
                </c:pt>
                <c:pt idx="2">
                  <c:v>0.58</c:v>
                </c:pt>
                <c:pt idx="3">
                  <c:v>0.558</c:v>
                </c:pt>
                <c:pt idx="4">
                  <c:v>0.556</c:v>
                </c:pt>
                <c:pt idx="5">
                  <c:v>0.56</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0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aede071-1992-466c-b97a-0a8b9978b7f4}"/>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Convergence: Average Cumulative Tax</a:t>
            </a:r>
          </a:p>
        </c:rich>
      </c:tx>
      <c:layout/>
      <c:overlay val="0"/>
    </c:title>
    <c:autoTitleDeleted val="0"/>
    <c:plotArea>
      <c:layout/>
      <c:lineChart>
        <c:grouping val="standard"/>
        <c:varyColors val="0"/>
        <c:ser>
          <c:idx val="0"/>
          <c:order val="0"/>
          <c:tx>
            <c:strRef>
              <c:f>"No Protection"</c:f>
              <c:strCache>
                <c:ptCount val="1"/>
                <c:pt idx="0">
                  <c:v>No Protection</c:v>
                </c:pt>
              </c:strCache>
            </c:strRef>
          </c:tx>
          <c:marker>
            <c:symbol val="none"/>
          </c:marker>
          <c:dLbls>
            <c:delete val="1"/>
          </c:dLbls>
          <c:cat>
            <c:numRef>
              <c:f>'03_Convergence'!$K$7:$K$12</c:f>
              <c:numCache>
                <c:formatCode>General</c:formatCode>
                <c:ptCount val="6"/>
                <c:pt idx="0">
                  <c:v>50</c:v>
                </c:pt>
                <c:pt idx="1">
                  <c:v>100</c:v>
                </c:pt>
                <c:pt idx="2">
                  <c:v>250</c:v>
                </c:pt>
                <c:pt idx="3">
                  <c:v>500</c:v>
                </c:pt>
                <c:pt idx="4">
                  <c:v>750</c:v>
                </c:pt>
                <c:pt idx="5">
                  <c:v>1000</c:v>
                </c:pt>
              </c:numCache>
            </c:numRef>
          </c:cat>
          <c:val>
            <c:numRef>
              <c:f>'03_Convergence'!$L$7:$L$12</c:f>
              <c:numCache>
                <c:formatCode>General</c:formatCode>
                <c:ptCount val="6"/>
                <c:pt idx="0">
                  <c:v>12701.4</c:v>
                </c:pt>
                <c:pt idx="1">
                  <c:v>12535.4</c:v>
                </c:pt>
                <c:pt idx="2">
                  <c:v>12580.44</c:v>
                </c:pt>
                <c:pt idx="3">
                  <c:v>12605.1</c:v>
                </c:pt>
                <c:pt idx="4">
                  <c:v>12607.92</c:v>
                </c:pt>
                <c:pt idx="5">
                  <c:v>12608.37</c:v>
                </c:pt>
              </c:numCache>
            </c:numRef>
          </c:val>
          <c:smooth val="1"/>
        </c:ser>
        <c:ser>
          <c:idx val="1"/>
          <c:order val="1"/>
          <c:tx>
            <c:strRef>
              <c:f>"Protection"</c:f>
              <c:strCache>
                <c:ptCount val="1"/>
                <c:pt idx="0">
                  <c:v>Protection</c:v>
                </c:pt>
              </c:strCache>
            </c:strRef>
          </c:tx>
          <c:marker>
            <c:symbol val="none"/>
          </c:marker>
          <c:dLbls>
            <c:delete val="1"/>
          </c:dLbls>
          <c:cat>
            <c:numRef>
              <c:f>'03_Convergence'!$K$7:$K$12</c:f>
              <c:numCache>
                <c:formatCode>General</c:formatCode>
                <c:ptCount val="6"/>
                <c:pt idx="0">
                  <c:v>50</c:v>
                </c:pt>
                <c:pt idx="1">
                  <c:v>100</c:v>
                </c:pt>
                <c:pt idx="2">
                  <c:v>250</c:v>
                </c:pt>
                <c:pt idx="3">
                  <c:v>500</c:v>
                </c:pt>
                <c:pt idx="4">
                  <c:v>750</c:v>
                </c:pt>
                <c:pt idx="5">
                  <c:v>1000</c:v>
                </c:pt>
              </c:numCache>
            </c:numRef>
          </c:cat>
          <c:val>
            <c:numRef>
              <c:f>'03_Convergence'!$M$7:$M$12</c:f>
              <c:numCache>
                <c:formatCode>General</c:formatCode>
                <c:ptCount val="6"/>
                <c:pt idx="0">
                  <c:v>16815.8</c:v>
                </c:pt>
                <c:pt idx="1">
                  <c:v>16941.7</c:v>
                </c:pt>
                <c:pt idx="2">
                  <c:v>16920</c:v>
                </c:pt>
                <c:pt idx="3">
                  <c:v>17111.42</c:v>
                </c:pt>
                <c:pt idx="4">
                  <c:v>17108.5466666667</c:v>
                </c:pt>
                <c:pt idx="5">
                  <c:v>17138.71</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aeba360-d1ad-4771-9ea4-a98a88e7ef72}"/>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720631</xdr:colOff>
      <xdr:row>3</xdr:row>
      <xdr:rowOff>123393</xdr:rowOff>
    </xdr:from>
    <xdr:to>
      <xdr:col>67</xdr:col>
      <xdr:colOff>37910</xdr:colOff>
      <xdr:row>28</xdr:row>
      <xdr:rowOff>56866</xdr:rowOff>
    </xdr:to>
    <xdr:graphicFrame>
      <xdr:nvGraphicFramePr>
        <xdr:cNvPr id="2" name="Chart"/>
        <xdr:cNvGraphicFramePr/>
      </xdr:nvGraphicFramePr>
      <xdr:xfrm>
        <a:off x="62055375" y="1012190"/>
        <a:ext cx="9709785" cy="55619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10</xdr:col>
      <xdr:colOff>78740</xdr:colOff>
      <xdr:row>4</xdr:row>
      <xdr:rowOff>20955</xdr:rowOff>
    </xdr:from>
    <xdr:to>
      <xdr:col>18</xdr:col>
      <xdr:colOff>78740</xdr:colOff>
      <xdr:row>18</xdr:row>
      <xdr:rowOff>20955</xdr:rowOff>
    </xdr:to>
    <xdr:graphicFrame>
      <xdr:nvGraphicFramePr>
        <xdr:cNvPr id="2" name="Chart"/>
        <xdr:cNvGraphicFramePr/>
      </xdr:nvGraphicFramePr>
      <xdr:xfrm>
        <a:off x="13119100" y="915035"/>
        <a:ext cx="6217920" cy="3383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18</xdr:row>
      <xdr:rowOff>0</xdr:rowOff>
    </xdr:from>
    <xdr:to>
      <xdr:col>16</xdr:col>
      <xdr:colOff>0</xdr:colOff>
      <xdr:row>32</xdr:row>
      <xdr:rowOff>0</xdr:rowOff>
    </xdr:to>
    <xdr:graphicFrame>
      <xdr:nvGraphicFramePr>
        <xdr:cNvPr id="3" name="Chart"/>
        <xdr:cNvGraphicFramePr/>
      </xdr:nvGraphicFramePr>
      <xdr:xfrm>
        <a:off x="11485880" y="4277360"/>
        <a:ext cx="6217920" cy="312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14</xdr:row>
      <xdr:rowOff>0</xdr:rowOff>
    </xdr:from>
    <xdr:to>
      <xdr:col>5</xdr:col>
      <xdr:colOff>0</xdr:colOff>
      <xdr:row>29</xdr:row>
      <xdr:rowOff>0</xdr:rowOff>
    </xdr:to>
    <xdr:graphicFrame>
      <xdr:nvGraphicFramePr>
        <xdr:cNvPr id="2" name="Chart"/>
        <xdr:cNvGraphicFramePr/>
      </xdr:nvGraphicFramePr>
      <xdr:xfrm>
        <a:off x="0" y="3362960"/>
        <a:ext cx="6908800" cy="3352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xdr:row>
      <xdr:rowOff>0</xdr:rowOff>
    </xdr:from>
    <xdr:to>
      <xdr:col>10</xdr:col>
      <xdr:colOff>0</xdr:colOff>
      <xdr:row>29</xdr:row>
      <xdr:rowOff>0</xdr:rowOff>
    </xdr:to>
    <xdr:graphicFrame>
      <xdr:nvGraphicFramePr>
        <xdr:cNvPr id="3" name="Chart"/>
        <xdr:cNvGraphicFramePr/>
      </xdr:nvGraphicFramePr>
      <xdr:xfrm>
        <a:off x="6908800" y="3362960"/>
        <a:ext cx="6649720" cy="3352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0"/>
  <sheetViews>
    <sheetView tabSelected="1" workbookViewId="0">
      <selection activeCell="A1" sqref="A1:H2"/>
    </sheetView>
  </sheetViews>
  <sheetFormatPr defaultColWidth="9" defaultRowHeight="17.6"/>
  <cols>
    <col min="1" max="1" width="20" customWidth="1"/>
    <col min="2" max="2" width="28" customWidth="1"/>
    <col min="3" max="3" width="34.1911764705882" customWidth="1"/>
    <col min="4" max="8" width="16" customWidth="1"/>
  </cols>
  <sheetData>
    <row r="1" spans="1:16">
      <c r="A1" s="1" t="s">
        <v>0</v>
      </c>
      <c r="B1" s="1"/>
      <c r="C1" s="1"/>
      <c r="D1" s="1"/>
      <c r="E1" s="1"/>
      <c r="F1" s="1"/>
      <c r="G1" s="1"/>
      <c r="H1" s="1"/>
      <c r="I1" s="2"/>
      <c r="J1" s="2"/>
      <c r="K1" s="2"/>
      <c r="L1" s="2"/>
      <c r="M1" s="2"/>
      <c r="N1" s="2"/>
      <c r="O1" s="2"/>
      <c r="P1" s="2"/>
    </row>
    <row r="2" spans="1:16">
      <c r="A2" s="1"/>
      <c r="B2" s="1"/>
      <c r="C2" s="1"/>
      <c r="D2" s="1"/>
      <c r="E2" s="1"/>
      <c r="F2" s="1"/>
      <c r="G2" s="1"/>
      <c r="H2" s="1"/>
      <c r="I2" s="2"/>
      <c r="J2" s="2"/>
      <c r="K2" s="2"/>
      <c r="L2" s="2"/>
      <c r="M2" s="2"/>
      <c r="N2" s="2"/>
      <c r="O2" s="2"/>
      <c r="P2" s="2"/>
    </row>
    <row r="3" spans="1:16">
      <c r="A3" s="38" t="s">
        <v>1</v>
      </c>
      <c r="B3" s="38"/>
      <c r="C3" s="38"/>
      <c r="D3" s="38"/>
      <c r="E3" s="38"/>
      <c r="F3" s="38"/>
      <c r="G3" s="38"/>
      <c r="H3" s="38"/>
      <c r="I3" s="2"/>
      <c r="J3" s="2"/>
      <c r="K3" s="2"/>
      <c r="L3" s="2"/>
      <c r="M3" s="2"/>
      <c r="N3" s="2"/>
      <c r="O3" s="2"/>
      <c r="P3" s="2"/>
    </row>
    <row r="4" spans="1:16">
      <c r="A4" s="2"/>
      <c r="B4" s="2"/>
      <c r="C4" s="2"/>
      <c r="D4" s="2"/>
      <c r="E4" s="2"/>
      <c r="F4" s="2"/>
      <c r="G4" s="2"/>
      <c r="H4" s="2"/>
      <c r="I4" s="2"/>
      <c r="J4" s="2"/>
      <c r="K4" s="2"/>
      <c r="L4" s="2"/>
      <c r="M4" s="2"/>
      <c r="N4" s="2"/>
      <c r="O4" s="2"/>
      <c r="P4" s="2"/>
    </row>
    <row r="5" spans="1:16">
      <c r="A5" s="5" t="s">
        <v>2</v>
      </c>
      <c r="B5" s="5"/>
      <c r="C5" s="5"/>
      <c r="D5" s="5"/>
      <c r="E5" s="5"/>
      <c r="F5" s="5"/>
      <c r="G5" s="5"/>
      <c r="H5" s="5"/>
      <c r="I5" s="2"/>
      <c r="J5" s="2"/>
      <c r="K5" s="2"/>
      <c r="L5" s="2"/>
      <c r="M5" s="2"/>
      <c r="N5" s="2"/>
      <c r="O5" s="2"/>
      <c r="P5" s="2"/>
    </row>
    <row r="6" spans="1:16">
      <c r="A6" s="12" t="s">
        <v>3</v>
      </c>
      <c r="B6" s="12"/>
      <c r="C6" s="12"/>
      <c r="D6" s="12"/>
      <c r="E6" s="12"/>
      <c r="F6" s="12"/>
      <c r="G6" s="12"/>
      <c r="H6" s="12"/>
      <c r="I6" s="2"/>
      <c r="J6" s="2"/>
      <c r="K6" s="2"/>
      <c r="L6" s="2"/>
      <c r="M6" s="2"/>
      <c r="N6" s="2"/>
      <c r="O6" s="2"/>
      <c r="P6" s="2"/>
    </row>
    <row r="7" spans="1:16">
      <c r="A7" s="12"/>
      <c r="B7" s="12"/>
      <c r="C7" s="12"/>
      <c r="D7" s="12"/>
      <c r="E7" s="12"/>
      <c r="F7" s="12"/>
      <c r="G7" s="12"/>
      <c r="H7" s="12"/>
      <c r="I7" s="2"/>
      <c r="J7" s="2"/>
      <c r="K7" s="2"/>
      <c r="L7" s="2"/>
      <c r="M7" s="2"/>
      <c r="N7" s="2"/>
      <c r="O7" s="2"/>
      <c r="P7" s="2"/>
    </row>
    <row r="8" spans="1:16">
      <c r="A8" s="12"/>
      <c r="B8" s="12"/>
      <c r="C8" s="12"/>
      <c r="D8" s="12"/>
      <c r="E8" s="12"/>
      <c r="F8" s="12"/>
      <c r="G8" s="12"/>
      <c r="H8" s="12"/>
      <c r="I8" s="2"/>
      <c r="J8" s="2"/>
      <c r="K8" s="2"/>
      <c r="L8" s="2"/>
      <c r="M8" s="2"/>
      <c r="N8" s="2"/>
      <c r="O8" s="2"/>
      <c r="P8" s="2"/>
    </row>
    <row r="9" spans="1:16">
      <c r="A9" s="12"/>
      <c r="B9" s="12"/>
      <c r="C9" s="12"/>
      <c r="D9" s="12"/>
      <c r="E9" s="12"/>
      <c r="F9" s="12"/>
      <c r="G9" s="12"/>
      <c r="H9" s="12"/>
      <c r="I9" s="2"/>
      <c r="J9" s="2"/>
      <c r="K9" s="2"/>
      <c r="L9" s="2"/>
      <c r="M9" s="2"/>
      <c r="N9" s="2"/>
      <c r="O9" s="2"/>
      <c r="P9" s="2"/>
    </row>
    <row r="10" spans="1:16">
      <c r="A10" s="12"/>
      <c r="B10" s="12"/>
      <c r="C10" s="12"/>
      <c r="D10" s="12"/>
      <c r="E10" s="12"/>
      <c r="F10" s="12"/>
      <c r="G10" s="12"/>
      <c r="H10" s="12"/>
      <c r="I10" s="2"/>
      <c r="J10" s="2"/>
      <c r="K10" s="2"/>
      <c r="L10" s="2"/>
      <c r="M10" s="2"/>
      <c r="N10" s="2"/>
      <c r="O10" s="2"/>
      <c r="P10" s="2"/>
    </row>
    <row r="11" spans="1:16">
      <c r="A11" s="2"/>
      <c r="B11" s="2"/>
      <c r="C11" s="2"/>
      <c r="D11" s="2"/>
      <c r="E11" s="2"/>
      <c r="F11" s="2"/>
      <c r="G11" s="2"/>
      <c r="H11" s="2"/>
      <c r="I11" s="2"/>
      <c r="J11" s="2"/>
      <c r="K11" s="2"/>
      <c r="L11" s="2"/>
      <c r="M11" s="2"/>
      <c r="N11" s="2"/>
      <c r="O11" s="2"/>
      <c r="P11" s="2"/>
    </row>
    <row r="12" spans="1:16">
      <c r="A12" s="5" t="s">
        <v>4</v>
      </c>
      <c r="B12" s="5"/>
      <c r="C12" s="5"/>
      <c r="D12" s="5"/>
      <c r="E12" s="5"/>
      <c r="F12" s="5"/>
      <c r="G12" s="5"/>
      <c r="H12" s="5"/>
      <c r="I12" s="2"/>
      <c r="J12" s="2"/>
      <c r="K12" s="2"/>
      <c r="L12" s="2"/>
      <c r="M12" s="2"/>
      <c r="N12" s="2"/>
      <c r="O12" s="2"/>
      <c r="P12" s="2"/>
    </row>
    <row r="13" ht="18" spans="1:16">
      <c r="A13" s="6" t="s">
        <v>5</v>
      </c>
      <c r="B13" s="6" t="s">
        <v>6</v>
      </c>
      <c r="C13" s="2"/>
      <c r="D13" s="39" t="s">
        <v>7</v>
      </c>
      <c r="E13" s="39"/>
      <c r="F13" s="39"/>
      <c r="G13" s="39"/>
      <c r="H13" s="39"/>
      <c r="I13" s="2"/>
      <c r="J13" s="2"/>
      <c r="K13" s="2"/>
      <c r="L13" s="2"/>
      <c r="M13" s="2"/>
      <c r="N13" s="2"/>
      <c r="O13" s="2"/>
      <c r="P13" s="2"/>
    </row>
    <row r="14" ht="36" spans="1:16">
      <c r="A14" s="4" t="s">
        <v>8</v>
      </c>
      <c r="B14" s="4" t="s">
        <v>9</v>
      </c>
      <c r="C14" s="2"/>
      <c r="D14" s="39"/>
      <c r="E14" s="39"/>
      <c r="F14" s="39"/>
      <c r="G14" s="39"/>
      <c r="H14" s="39"/>
      <c r="I14" s="2"/>
      <c r="J14" s="2"/>
      <c r="K14" s="2"/>
      <c r="L14" s="2"/>
      <c r="M14" s="2"/>
      <c r="N14" s="2"/>
      <c r="O14" s="2"/>
      <c r="P14" s="2"/>
    </row>
    <row r="15" ht="36" spans="1:16">
      <c r="A15" s="4" t="s">
        <v>10</v>
      </c>
      <c r="B15" s="4" t="s">
        <v>11</v>
      </c>
      <c r="C15" s="2"/>
      <c r="D15" s="39"/>
      <c r="E15" s="39"/>
      <c r="F15" s="39"/>
      <c r="G15" s="39"/>
      <c r="H15" s="39"/>
      <c r="I15" s="2"/>
      <c r="J15" s="2"/>
      <c r="K15" s="2"/>
      <c r="L15" s="2"/>
      <c r="M15" s="2"/>
      <c r="N15" s="2"/>
      <c r="O15" s="2"/>
      <c r="P15" s="2"/>
    </row>
    <row r="16" ht="36" spans="1:16">
      <c r="A16" s="4" t="s">
        <v>12</v>
      </c>
      <c r="B16" s="4" t="s">
        <v>13</v>
      </c>
      <c r="C16" s="2"/>
      <c r="D16" s="39" t="s">
        <v>14</v>
      </c>
      <c r="E16" s="39"/>
      <c r="F16" s="39"/>
      <c r="G16" s="39"/>
      <c r="H16" s="39"/>
      <c r="I16" s="2"/>
      <c r="J16" s="2"/>
      <c r="K16" s="2"/>
      <c r="L16" s="2"/>
      <c r="M16" s="2"/>
      <c r="N16" s="2"/>
      <c r="O16" s="2"/>
      <c r="P16" s="2"/>
    </row>
    <row r="17" ht="18" spans="1:16">
      <c r="A17" s="4" t="s">
        <v>15</v>
      </c>
      <c r="B17" s="4" t="s">
        <v>16</v>
      </c>
      <c r="C17" s="2"/>
      <c r="D17" s="39"/>
      <c r="E17" s="39"/>
      <c r="F17" s="39"/>
      <c r="G17" s="39"/>
      <c r="H17" s="39"/>
      <c r="I17" s="2"/>
      <c r="J17" s="2"/>
      <c r="K17" s="2"/>
      <c r="L17" s="2"/>
      <c r="M17" s="2"/>
      <c r="N17" s="2"/>
      <c r="O17" s="2"/>
      <c r="P17" s="2"/>
    </row>
    <row r="18" ht="36" spans="1:16">
      <c r="A18" s="4" t="s">
        <v>17</v>
      </c>
      <c r="B18" s="4" t="s">
        <v>18</v>
      </c>
      <c r="C18" s="2"/>
      <c r="D18" s="39"/>
      <c r="E18" s="39"/>
      <c r="F18" s="39"/>
      <c r="G18" s="39"/>
      <c r="H18" s="39"/>
      <c r="I18" s="2"/>
      <c r="J18" s="2"/>
      <c r="K18" s="2"/>
      <c r="L18" s="2"/>
      <c r="M18" s="2"/>
      <c r="N18" s="2"/>
      <c r="O18" s="2"/>
      <c r="P18" s="2"/>
    </row>
    <row r="19" ht="36" spans="1:16">
      <c r="A19" s="4" t="s">
        <v>19</v>
      </c>
      <c r="B19" s="4" t="s">
        <v>20</v>
      </c>
      <c r="C19" s="2"/>
      <c r="D19" s="39" t="s">
        <v>21</v>
      </c>
      <c r="E19" s="39"/>
      <c r="F19" s="39"/>
      <c r="G19" s="39"/>
      <c r="H19" s="39"/>
      <c r="I19" s="2"/>
      <c r="J19" s="2"/>
      <c r="K19" s="2"/>
      <c r="L19" s="2"/>
      <c r="M19" s="2"/>
      <c r="N19" s="2"/>
      <c r="O19" s="2"/>
      <c r="P19" s="2"/>
    </row>
    <row r="20" ht="18" spans="1:16">
      <c r="A20" s="4" t="s">
        <v>22</v>
      </c>
      <c r="B20" s="4" t="s">
        <v>23</v>
      </c>
      <c r="C20" s="2"/>
      <c r="D20" s="39"/>
      <c r="E20" s="39"/>
      <c r="F20" s="39"/>
      <c r="G20" s="39"/>
      <c r="H20" s="39"/>
      <c r="I20" s="2"/>
      <c r="J20" s="2"/>
      <c r="K20" s="2"/>
      <c r="L20" s="2"/>
      <c r="M20" s="2"/>
      <c r="N20" s="2"/>
      <c r="O20" s="2"/>
      <c r="P20" s="2"/>
    </row>
    <row r="21" spans="1:16">
      <c r="A21" s="2"/>
      <c r="B21" s="2"/>
      <c r="C21" s="2"/>
      <c r="D21" s="39"/>
      <c r="E21" s="39"/>
      <c r="F21" s="39"/>
      <c r="G21" s="39"/>
      <c r="H21" s="39"/>
      <c r="I21" s="2"/>
      <c r="J21" s="2"/>
      <c r="K21" s="2"/>
      <c r="L21" s="2"/>
      <c r="M21" s="2"/>
      <c r="N21" s="2"/>
      <c r="O21" s="2"/>
      <c r="P21" s="2"/>
    </row>
    <row r="22" spans="1:16">
      <c r="A22" s="2"/>
      <c r="B22" s="2"/>
      <c r="C22" s="2"/>
      <c r="D22" s="2"/>
      <c r="E22" s="2"/>
      <c r="F22" s="2"/>
      <c r="G22" s="2"/>
      <c r="H22" s="2"/>
      <c r="I22" s="2"/>
      <c r="J22" s="2"/>
      <c r="K22" s="2"/>
      <c r="L22" s="2"/>
      <c r="M22" s="2"/>
      <c r="N22" s="2"/>
      <c r="O22" s="2"/>
      <c r="P22" s="2"/>
    </row>
    <row r="23" spans="1:16">
      <c r="A23" s="5" t="s">
        <v>24</v>
      </c>
      <c r="B23" s="5"/>
      <c r="C23" s="5"/>
      <c r="D23" s="5"/>
      <c r="E23" s="5"/>
      <c r="F23" s="5"/>
      <c r="G23" s="5"/>
      <c r="H23" s="5"/>
      <c r="I23" s="2"/>
      <c r="J23" s="2"/>
      <c r="K23" s="2"/>
      <c r="L23" s="2"/>
      <c r="M23" s="2"/>
      <c r="N23" s="2"/>
      <c r="O23" s="2"/>
      <c r="P23" s="2"/>
    </row>
    <row r="24" spans="1:16">
      <c r="A24" s="12" t="s">
        <v>25</v>
      </c>
      <c r="B24" s="12"/>
      <c r="C24" s="12"/>
      <c r="D24" s="12"/>
      <c r="E24" s="12"/>
      <c r="F24" s="12"/>
      <c r="G24" s="12"/>
      <c r="H24" s="12"/>
      <c r="I24" s="2"/>
      <c r="J24" s="2"/>
      <c r="K24" s="2"/>
      <c r="L24" s="2"/>
      <c r="M24" s="2"/>
      <c r="N24" s="2"/>
      <c r="O24" s="2"/>
      <c r="P24" s="2"/>
    </row>
    <row r="25" spans="1:16">
      <c r="A25" s="12"/>
      <c r="B25" s="12"/>
      <c r="C25" s="12"/>
      <c r="D25" s="12"/>
      <c r="E25" s="12"/>
      <c r="F25" s="12"/>
      <c r="G25" s="12"/>
      <c r="H25" s="12"/>
      <c r="I25" s="2"/>
      <c r="J25" s="2"/>
      <c r="K25" s="2"/>
      <c r="L25" s="2"/>
      <c r="M25" s="2"/>
      <c r="N25" s="2"/>
      <c r="O25" s="2"/>
      <c r="P25" s="2"/>
    </row>
    <row r="26" spans="1:16">
      <c r="A26" s="12"/>
      <c r="B26" s="12"/>
      <c r="C26" s="12"/>
      <c r="D26" s="12"/>
      <c r="E26" s="12"/>
      <c r="F26" s="12"/>
      <c r="G26" s="12"/>
      <c r="H26" s="12"/>
      <c r="I26" s="2"/>
      <c r="J26" s="2"/>
      <c r="K26" s="2"/>
      <c r="L26" s="2"/>
      <c r="M26" s="2"/>
      <c r="N26" s="2"/>
      <c r="O26" s="2"/>
      <c r="P26" s="2"/>
    </row>
    <row r="27" spans="1:16">
      <c r="A27" s="12"/>
      <c r="B27" s="12"/>
      <c r="C27" s="12"/>
      <c r="D27" s="12"/>
      <c r="E27" s="12"/>
      <c r="F27" s="12"/>
      <c r="G27" s="12"/>
      <c r="H27" s="12"/>
      <c r="I27" s="2"/>
      <c r="J27" s="2"/>
      <c r="K27" s="2"/>
      <c r="L27" s="2"/>
      <c r="M27" s="2"/>
      <c r="N27" s="2"/>
      <c r="O27" s="2"/>
      <c r="P27" s="2"/>
    </row>
    <row r="28" spans="1:16">
      <c r="A28" s="12"/>
      <c r="B28" s="12"/>
      <c r="C28" s="12"/>
      <c r="D28" s="12"/>
      <c r="E28" s="12"/>
      <c r="F28" s="12"/>
      <c r="G28" s="12"/>
      <c r="H28" s="12"/>
      <c r="I28" s="2"/>
      <c r="J28" s="2"/>
      <c r="K28" s="2"/>
      <c r="L28" s="2"/>
      <c r="M28" s="2"/>
      <c r="N28" s="2"/>
      <c r="O28" s="2"/>
      <c r="P28" s="2"/>
    </row>
    <row r="29" spans="1:16">
      <c r="A29" s="12"/>
      <c r="B29" s="12"/>
      <c r="C29" s="12"/>
      <c r="D29" s="12"/>
      <c r="E29" s="12"/>
      <c r="F29" s="12"/>
      <c r="G29" s="12"/>
      <c r="H29" s="12"/>
      <c r="I29" s="2"/>
      <c r="J29" s="2"/>
      <c r="K29" s="2"/>
      <c r="L29" s="2"/>
      <c r="M29" s="2"/>
      <c r="N29" s="2"/>
      <c r="O29" s="2"/>
      <c r="P29" s="2"/>
    </row>
    <row r="30" spans="1:16">
      <c r="A30" s="2"/>
      <c r="B30" s="2"/>
      <c r="C30" s="2"/>
      <c r="D30" s="2"/>
      <c r="E30" s="2"/>
      <c r="F30" s="2"/>
      <c r="G30" s="2"/>
      <c r="H30" s="2"/>
      <c r="I30" s="2"/>
      <c r="J30" s="2"/>
      <c r="K30" s="2"/>
      <c r="L30" s="2"/>
      <c r="M30" s="2"/>
      <c r="N30" s="2"/>
      <c r="O30" s="2"/>
      <c r="P30" s="2"/>
    </row>
    <row r="31" spans="1:16">
      <c r="A31" s="5" t="s">
        <v>26</v>
      </c>
      <c r="B31" s="5"/>
      <c r="C31" s="5"/>
      <c r="D31" s="5"/>
      <c r="E31" s="5"/>
      <c r="F31" s="5"/>
      <c r="G31" s="5"/>
      <c r="H31" s="5"/>
      <c r="I31" s="2"/>
      <c r="J31" s="2"/>
      <c r="K31" s="2"/>
      <c r="L31" s="2"/>
      <c r="M31" s="2"/>
      <c r="N31" s="2"/>
      <c r="O31" s="2"/>
      <c r="P31" s="2"/>
    </row>
    <row r="32" ht="18" spans="1:16">
      <c r="A32" s="6" t="s">
        <v>27</v>
      </c>
      <c r="B32" s="6" t="s">
        <v>28</v>
      </c>
      <c r="C32" s="6" t="s">
        <v>29</v>
      </c>
      <c r="D32" s="2"/>
      <c r="E32" s="2"/>
      <c r="F32" s="2"/>
      <c r="G32" s="2"/>
      <c r="H32" s="2"/>
      <c r="I32" s="2"/>
      <c r="J32" s="2"/>
      <c r="K32" s="2"/>
      <c r="L32" s="2"/>
      <c r="M32" s="2"/>
      <c r="N32" s="2"/>
      <c r="O32" s="2"/>
      <c r="P32" s="2"/>
    </row>
    <row r="33" ht="36" spans="1:16">
      <c r="A33" s="4" t="s">
        <v>30</v>
      </c>
      <c r="B33" s="4" t="s">
        <v>31</v>
      </c>
      <c r="C33" s="4" t="s">
        <v>32</v>
      </c>
      <c r="D33" s="2"/>
      <c r="E33" s="2"/>
      <c r="F33" s="2"/>
      <c r="G33" s="2"/>
      <c r="H33" s="2"/>
      <c r="I33" s="2"/>
      <c r="J33" s="2"/>
      <c r="K33" s="2"/>
      <c r="L33" s="2"/>
      <c r="M33" s="2"/>
      <c r="N33" s="2"/>
      <c r="O33" s="2"/>
      <c r="P33" s="2"/>
    </row>
    <row r="34" ht="53" spans="1:16">
      <c r="A34" s="4" t="s">
        <v>33</v>
      </c>
      <c r="B34" s="4" t="s">
        <v>34</v>
      </c>
      <c r="C34" s="4" t="s">
        <v>35</v>
      </c>
      <c r="D34" s="2"/>
      <c r="E34" s="2"/>
      <c r="F34" s="2"/>
      <c r="G34" s="2"/>
      <c r="H34" s="2"/>
      <c r="I34" s="2"/>
      <c r="J34" s="2"/>
      <c r="K34" s="2"/>
      <c r="L34" s="2"/>
      <c r="M34" s="2"/>
      <c r="N34" s="2"/>
      <c r="O34" s="2"/>
      <c r="P34" s="2"/>
    </row>
    <row r="35" ht="36" spans="1:16">
      <c r="A35" s="4" t="s">
        <v>36</v>
      </c>
      <c r="B35" s="4" t="s">
        <v>37</v>
      </c>
      <c r="C35" s="4" t="s">
        <v>38</v>
      </c>
      <c r="D35" s="2"/>
      <c r="E35" s="2"/>
      <c r="F35" s="2"/>
      <c r="G35" s="2"/>
      <c r="H35" s="2"/>
      <c r="I35" s="2"/>
      <c r="J35" s="2"/>
      <c r="K35" s="2"/>
      <c r="L35" s="2"/>
      <c r="M35" s="2"/>
      <c r="N35" s="2"/>
      <c r="O35" s="2"/>
      <c r="P35" s="2"/>
    </row>
    <row r="36" ht="36" spans="1:16">
      <c r="A36" s="4" t="s">
        <v>39</v>
      </c>
      <c r="B36" s="4" t="s">
        <v>40</v>
      </c>
      <c r="C36" s="4" t="s">
        <v>41</v>
      </c>
      <c r="D36" s="2"/>
      <c r="E36" s="2"/>
      <c r="F36" s="2"/>
      <c r="G36" s="2"/>
      <c r="H36" s="2"/>
      <c r="I36" s="2"/>
      <c r="J36" s="2"/>
      <c r="K36" s="2"/>
      <c r="L36" s="2"/>
      <c r="M36" s="2"/>
      <c r="N36" s="2"/>
      <c r="O36" s="2"/>
      <c r="P36" s="2"/>
    </row>
    <row r="37" spans="1:16">
      <c r="A37" s="2"/>
      <c r="B37" s="2"/>
      <c r="C37" s="2"/>
      <c r="D37" s="2"/>
      <c r="E37" s="2"/>
      <c r="F37" s="2"/>
      <c r="G37" s="2"/>
      <c r="H37" s="2"/>
      <c r="I37" s="2"/>
      <c r="J37" s="2"/>
      <c r="K37" s="2"/>
      <c r="L37" s="2"/>
      <c r="M37" s="2"/>
      <c r="N37" s="2"/>
      <c r="O37" s="2"/>
      <c r="P37" s="2"/>
    </row>
    <row r="38" spans="1:16">
      <c r="A38" s="2"/>
      <c r="B38" s="2"/>
      <c r="C38" s="2"/>
      <c r="D38" s="2"/>
      <c r="E38" s="2"/>
      <c r="F38" s="2"/>
      <c r="G38" s="2"/>
      <c r="H38" s="2"/>
      <c r="I38" s="2"/>
      <c r="J38" s="2"/>
      <c r="K38" s="2"/>
      <c r="L38" s="2"/>
      <c r="M38" s="2"/>
      <c r="N38" s="2"/>
      <c r="O38" s="2"/>
      <c r="P38" s="2"/>
    </row>
    <row r="39" spans="1:16">
      <c r="A39" s="5" t="s">
        <v>42</v>
      </c>
      <c r="B39" s="5"/>
      <c r="C39" s="5"/>
      <c r="D39" s="5"/>
      <c r="E39" s="5"/>
      <c r="F39" s="5"/>
      <c r="G39" s="5"/>
      <c r="H39" s="5"/>
      <c r="I39" s="2"/>
      <c r="J39" s="2"/>
      <c r="K39" s="2"/>
      <c r="L39" s="2"/>
      <c r="M39" s="2"/>
      <c r="N39" s="2"/>
      <c r="O39" s="2"/>
      <c r="P39" s="2"/>
    </row>
    <row r="40" spans="1:16">
      <c r="A40" s="11" t="s">
        <v>43</v>
      </c>
      <c r="B40" s="11"/>
      <c r="C40" s="11"/>
      <c r="D40" s="11"/>
      <c r="E40" s="11"/>
      <c r="F40" s="11"/>
      <c r="G40" s="11"/>
      <c r="H40" s="11"/>
      <c r="I40" s="2"/>
      <c r="J40" s="2"/>
      <c r="K40" s="2"/>
      <c r="L40" s="2"/>
      <c r="M40" s="2"/>
      <c r="N40" s="2"/>
      <c r="O40" s="2"/>
      <c r="P40" s="2"/>
    </row>
    <row r="41" spans="1:16">
      <c r="A41" s="11"/>
      <c r="B41" s="11"/>
      <c r="C41" s="11"/>
      <c r="D41" s="11"/>
      <c r="E41" s="11"/>
      <c r="F41" s="11"/>
      <c r="G41" s="11"/>
      <c r="H41" s="11"/>
      <c r="I41" s="2"/>
      <c r="J41" s="2"/>
      <c r="K41" s="2"/>
      <c r="L41" s="2"/>
      <c r="M41" s="2"/>
      <c r="N41" s="2"/>
      <c r="O41" s="2"/>
      <c r="P41" s="2"/>
    </row>
    <row r="42" spans="1:16">
      <c r="A42" s="11"/>
      <c r="B42" s="11"/>
      <c r="C42" s="11"/>
      <c r="D42" s="11"/>
      <c r="E42" s="11"/>
      <c r="F42" s="11"/>
      <c r="G42" s="11"/>
      <c r="H42" s="11"/>
      <c r="I42" s="2"/>
      <c r="J42" s="2"/>
      <c r="K42" s="2"/>
      <c r="L42" s="2"/>
      <c r="M42" s="2"/>
      <c r="N42" s="2"/>
      <c r="O42" s="2"/>
      <c r="P42" s="2"/>
    </row>
    <row r="43" spans="1:16">
      <c r="A43" s="11"/>
      <c r="B43" s="11"/>
      <c r="C43" s="11"/>
      <c r="D43" s="11"/>
      <c r="E43" s="11"/>
      <c r="F43" s="11"/>
      <c r="G43" s="11"/>
      <c r="H43" s="11"/>
      <c r="I43" s="2"/>
      <c r="J43" s="2"/>
      <c r="K43" s="2"/>
      <c r="L43" s="2"/>
      <c r="M43" s="2"/>
      <c r="N43" s="2"/>
      <c r="O43" s="2"/>
      <c r="P43" s="2"/>
    </row>
    <row r="44" spans="1:16">
      <c r="A44" s="11"/>
      <c r="B44" s="11"/>
      <c r="C44" s="11"/>
      <c r="D44" s="11"/>
      <c r="E44" s="11"/>
      <c r="F44" s="11"/>
      <c r="G44" s="11"/>
      <c r="H44" s="11"/>
      <c r="I44" s="2"/>
      <c r="J44" s="2"/>
      <c r="K44" s="2"/>
      <c r="L44" s="2"/>
      <c r="M44" s="2"/>
      <c r="N44" s="2"/>
      <c r="O44" s="2"/>
      <c r="P44" s="2"/>
    </row>
    <row r="45" spans="1:16">
      <c r="A45" s="11"/>
      <c r="B45" s="11"/>
      <c r="C45" s="11"/>
      <c r="D45" s="11"/>
      <c r="E45" s="11"/>
      <c r="F45" s="11"/>
      <c r="G45" s="11"/>
      <c r="H45" s="11"/>
      <c r="I45" s="2"/>
      <c r="J45" s="2"/>
      <c r="K45" s="2"/>
      <c r="L45" s="2"/>
      <c r="M45" s="2"/>
      <c r="N45" s="2"/>
      <c r="O45" s="2"/>
      <c r="P45" s="2"/>
    </row>
    <row r="46" spans="1:16">
      <c r="A46" s="11"/>
      <c r="B46" s="11"/>
      <c r="C46" s="11"/>
      <c r="D46" s="11"/>
      <c r="E46" s="11"/>
      <c r="F46" s="11"/>
      <c r="G46" s="11"/>
      <c r="H46" s="11"/>
      <c r="I46" s="2"/>
      <c r="J46" s="2"/>
      <c r="K46" s="2"/>
      <c r="L46" s="2"/>
      <c r="M46" s="2"/>
      <c r="N46" s="2"/>
      <c r="O46" s="2"/>
      <c r="P46" s="2"/>
    </row>
    <row r="47" spans="1:16">
      <c r="A47" s="11"/>
      <c r="B47" s="11"/>
      <c r="C47" s="11"/>
      <c r="D47" s="11"/>
      <c r="E47" s="11"/>
      <c r="F47" s="11"/>
      <c r="G47" s="11"/>
      <c r="H47" s="11"/>
      <c r="I47" s="2"/>
      <c r="J47" s="2"/>
      <c r="K47" s="2"/>
      <c r="L47" s="2"/>
      <c r="M47" s="2"/>
      <c r="N47" s="2"/>
      <c r="O47" s="2"/>
      <c r="P47" s="2"/>
    </row>
    <row r="48" spans="1:16">
      <c r="A48" s="2"/>
      <c r="B48" s="2"/>
      <c r="C48" s="2"/>
      <c r="D48" s="2"/>
      <c r="E48" s="2"/>
      <c r="F48" s="2"/>
      <c r="G48" s="2"/>
      <c r="H48" s="2"/>
      <c r="I48" s="2"/>
      <c r="J48" s="2"/>
      <c r="K48" s="2"/>
      <c r="L48" s="2"/>
      <c r="M48" s="2"/>
      <c r="N48" s="2"/>
      <c r="O48" s="2"/>
      <c r="P48" s="2"/>
    </row>
    <row r="49" spans="1:16">
      <c r="A49" s="5" t="s">
        <v>44</v>
      </c>
      <c r="B49" s="5"/>
      <c r="C49" s="5"/>
      <c r="D49" s="5"/>
      <c r="E49" s="5"/>
      <c r="F49" s="5"/>
      <c r="G49" s="5"/>
      <c r="H49" s="5"/>
      <c r="I49" s="2"/>
      <c r="J49" s="2"/>
      <c r="K49" s="2"/>
      <c r="L49" s="2"/>
      <c r="M49" s="2"/>
      <c r="N49" s="2"/>
      <c r="O49" s="2"/>
      <c r="P49" s="2"/>
    </row>
    <row r="50" spans="1:16">
      <c r="A50" s="40" t="s">
        <v>45</v>
      </c>
      <c r="B50" s="40"/>
      <c r="C50" s="40"/>
      <c r="D50" s="40"/>
      <c r="E50" s="40"/>
      <c r="F50" s="40"/>
      <c r="G50" s="40"/>
      <c r="H50" s="40"/>
      <c r="I50" s="2"/>
      <c r="J50" s="2"/>
      <c r="K50" s="2"/>
      <c r="L50" s="2"/>
      <c r="M50" s="2"/>
      <c r="N50" s="2"/>
      <c r="O50" s="2"/>
      <c r="P50" s="2"/>
    </row>
    <row r="51" spans="1:16">
      <c r="A51" s="40"/>
      <c r="B51" s="40"/>
      <c r="C51" s="40"/>
      <c r="D51" s="40"/>
      <c r="E51" s="40"/>
      <c r="F51" s="40"/>
      <c r="G51" s="40"/>
      <c r="H51" s="40"/>
      <c r="I51" s="2"/>
      <c r="J51" s="2"/>
      <c r="K51" s="2"/>
      <c r="L51" s="2"/>
      <c r="M51" s="2"/>
      <c r="N51" s="2"/>
      <c r="O51" s="2"/>
      <c r="P51" s="2"/>
    </row>
    <row r="52" spans="1:16">
      <c r="A52" s="40"/>
      <c r="B52" s="40"/>
      <c r="C52" s="40"/>
      <c r="D52" s="40"/>
      <c r="E52" s="40"/>
      <c r="F52" s="40"/>
      <c r="G52" s="40"/>
      <c r="H52" s="40"/>
      <c r="I52" s="2"/>
      <c r="J52" s="2"/>
      <c r="K52" s="2"/>
      <c r="L52" s="2"/>
      <c r="M52" s="2"/>
      <c r="N52" s="2"/>
      <c r="O52" s="2"/>
      <c r="P52" s="2"/>
    </row>
    <row r="53" spans="1:16">
      <c r="A53" s="40"/>
      <c r="B53" s="40"/>
      <c r="C53" s="40"/>
      <c r="D53" s="40"/>
      <c r="E53" s="40"/>
      <c r="F53" s="40"/>
      <c r="G53" s="40"/>
      <c r="H53" s="40"/>
      <c r="I53" s="2"/>
      <c r="J53" s="2"/>
      <c r="K53" s="2"/>
      <c r="L53" s="2"/>
      <c r="M53" s="2"/>
      <c r="N53" s="2"/>
      <c r="O53" s="2"/>
      <c r="P53" s="2"/>
    </row>
    <row r="54" spans="1:16">
      <c r="A54" s="40"/>
      <c r="B54" s="40"/>
      <c r="C54" s="40"/>
      <c r="D54" s="40"/>
      <c r="E54" s="40"/>
      <c r="F54" s="40"/>
      <c r="G54" s="40"/>
      <c r="H54" s="40"/>
      <c r="I54" s="2"/>
      <c r="J54" s="2"/>
      <c r="K54" s="2"/>
      <c r="L54" s="2"/>
      <c r="M54" s="2"/>
      <c r="N54" s="2"/>
      <c r="O54" s="2"/>
      <c r="P54" s="2"/>
    </row>
    <row r="55" spans="1:16">
      <c r="A55" s="40"/>
      <c r="B55" s="40"/>
      <c r="C55" s="40"/>
      <c r="D55" s="40"/>
      <c r="E55" s="40"/>
      <c r="F55" s="40"/>
      <c r="G55" s="40"/>
      <c r="H55" s="40"/>
      <c r="I55" s="2"/>
      <c r="J55" s="2"/>
      <c r="K55" s="2"/>
      <c r="L55" s="2"/>
      <c r="M55" s="2"/>
      <c r="N55" s="2"/>
      <c r="O55" s="2"/>
      <c r="P55" s="2"/>
    </row>
    <row r="56" spans="1:16">
      <c r="A56" s="40"/>
      <c r="B56" s="40"/>
      <c r="C56" s="40"/>
      <c r="D56" s="40"/>
      <c r="E56" s="40"/>
      <c r="F56" s="40"/>
      <c r="G56" s="40"/>
      <c r="H56" s="40"/>
      <c r="I56" s="2"/>
      <c r="J56" s="2"/>
      <c r="K56" s="2"/>
      <c r="L56" s="2"/>
      <c r="M56" s="2"/>
      <c r="N56" s="2"/>
      <c r="O56" s="2"/>
      <c r="P56" s="2"/>
    </row>
    <row r="57" spans="1:16">
      <c r="A57" s="40"/>
      <c r="B57" s="40"/>
      <c r="C57" s="40"/>
      <c r="D57" s="40"/>
      <c r="E57" s="40"/>
      <c r="F57" s="40"/>
      <c r="G57" s="40"/>
      <c r="H57" s="40"/>
      <c r="I57" s="2"/>
      <c r="J57" s="2"/>
      <c r="K57" s="2"/>
      <c r="L57" s="2"/>
      <c r="M57" s="2"/>
      <c r="N57" s="2"/>
      <c r="O57" s="2"/>
      <c r="P57" s="2"/>
    </row>
    <row r="58" spans="1:16">
      <c r="A58" s="2"/>
      <c r="B58" s="2"/>
      <c r="C58" s="2"/>
      <c r="D58" s="2"/>
      <c r="E58" s="2"/>
      <c r="F58" s="2"/>
      <c r="G58" s="2"/>
      <c r="H58" s="2"/>
      <c r="I58" s="2"/>
      <c r="J58" s="2"/>
      <c r="K58" s="2"/>
      <c r="L58" s="2"/>
      <c r="M58" s="2"/>
      <c r="N58" s="2"/>
      <c r="O58" s="2"/>
      <c r="P58" s="2"/>
    </row>
    <row r="59" spans="1:16">
      <c r="A59" s="2"/>
      <c r="B59" s="2"/>
      <c r="C59" s="2"/>
      <c r="D59" s="2"/>
      <c r="E59" s="2"/>
      <c r="F59" s="2"/>
      <c r="G59" s="2"/>
      <c r="H59" s="2"/>
      <c r="I59" s="2"/>
      <c r="J59" s="2"/>
      <c r="K59" s="2"/>
      <c r="L59" s="2"/>
      <c r="M59" s="2"/>
      <c r="N59" s="2"/>
      <c r="O59" s="2"/>
      <c r="P59" s="2"/>
    </row>
    <row r="60" spans="1:16">
      <c r="A60" s="2"/>
      <c r="B60" s="2"/>
      <c r="C60" s="2"/>
      <c r="D60" s="2"/>
      <c r="E60" s="2"/>
      <c r="F60" s="2"/>
      <c r="G60" s="2"/>
      <c r="H60" s="2"/>
      <c r="I60" s="2"/>
      <c r="J60" s="2"/>
      <c r="K60" s="2"/>
      <c r="L60" s="2"/>
      <c r="M60" s="2"/>
      <c r="N60" s="2"/>
      <c r="O60" s="2"/>
      <c r="P60" s="2"/>
    </row>
  </sheetData>
  <mergeCells count="15">
    <mergeCell ref="A3:H3"/>
    <mergeCell ref="A5:H5"/>
    <mergeCell ref="A12:H12"/>
    <mergeCell ref="A23:H23"/>
    <mergeCell ref="A31:H31"/>
    <mergeCell ref="A39:H39"/>
    <mergeCell ref="A49:H49"/>
    <mergeCell ref="A1:H2"/>
    <mergeCell ref="A6:H10"/>
    <mergeCell ref="D13:H15"/>
    <mergeCell ref="D16:H18"/>
    <mergeCell ref="D19:H21"/>
    <mergeCell ref="A24:H29"/>
    <mergeCell ref="A40:H47"/>
    <mergeCell ref="A50:H57"/>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1001"/>
  <sheetViews>
    <sheetView workbookViewId="0">
      <selection activeCell="A60" sqref="A60:H64"/>
    </sheetView>
  </sheetViews>
  <sheetFormatPr defaultColWidth="11" defaultRowHeight="17.6"/>
  <cols>
    <col min="10" max="10" width="10" customWidth="1"/>
    <col min="11" max="11" width="26" customWidth="1"/>
    <col min="12" max="12" width="14" customWidth="1"/>
    <col min="13" max="13" width="3" customWidth="1"/>
    <col min="14" max="14" width="12.375" customWidth="1"/>
    <col min="15" max="15" width="8" customWidth="1"/>
    <col min="16" max="16" width="13" customWidth="1"/>
    <col min="17" max="19" width="11" customWidth="1"/>
    <col min="20" max="20" width="3" customWidth="1"/>
    <col min="21" max="21" width="10" customWidth="1"/>
    <col min="22" max="22" width="22" customWidth="1"/>
    <col min="23" max="24" width="3" customWidth="1"/>
    <col min="25" max="25" width="12" customWidth="1"/>
    <col min="26" max="26" width="10" customWidth="1"/>
    <col min="27" max="27" width="15" customWidth="1"/>
    <col min="28" max="28" width="16" customWidth="1"/>
    <col min="29" max="29" width="14" customWidth="1"/>
    <col min="30" max="30" width="23" customWidth="1"/>
    <col min="31" max="31" width="3" customWidth="1"/>
    <col min="32" max="32" width="12.25" customWidth="1"/>
    <col min="33" max="33" width="8" customWidth="1"/>
    <col min="34" max="34" width="28" customWidth="1"/>
    <col min="35" max="36" width="13" customWidth="1"/>
    <col min="37" max="37" width="14" customWidth="1"/>
    <col min="38" max="38" width="13" customWidth="1"/>
    <col min="39" max="39" width="14" customWidth="1"/>
    <col min="40" max="40" width="3" customWidth="1"/>
    <col min="41" max="41" width="11.7647058823529" customWidth="1"/>
    <col min="42" max="42" width="3" customWidth="1"/>
    <col min="43" max="43" width="13" customWidth="1"/>
    <col min="44" max="46" width="15" customWidth="1"/>
    <col min="47" max="47" width="3" customWidth="1"/>
    <col min="48" max="48" width="5.64705882352941" customWidth="1"/>
    <col min="49" max="49" width="22.6470588235294" customWidth="1"/>
    <col min="50" max="50" width="24" customWidth="1"/>
    <col min="51" max="51" width="3" customWidth="1"/>
    <col min="52" max="52" width="9.88235294117647" customWidth="1"/>
    <col min="53" max="53" width="12" customWidth="1"/>
    <col min="54" max="54" width="20" customWidth="1"/>
    <col min="55" max="56" width="21" customWidth="1"/>
    <col min="57" max="57" width="30" customWidth="1"/>
    <col min="58" max="59" width="3" customWidth="1"/>
    <col min="60" max="60" width="8" customWidth="1"/>
    <col min="61" max="61" width="31" customWidth="1"/>
    <col min="62" max="63" width="13" customWidth="1"/>
    <col min="64" max="64" width="14" customWidth="1"/>
    <col min="65" max="65" width="13" customWidth="1"/>
    <col min="66" max="66" width="14" customWidth="1"/>
    <col min="67" max="67" width="3" customWidth="1"/>
    <col min="68" max="68" width="8" customWidth="1"/>
    <col min="69" max="69" width="29" customWidth="1"/>
    <col min="70" max="70" width="14" customWidth="1"/>
    <col min="71" max="71" width="13" customWidth="1"/>
    <col min="72" max="72" width="14" customWidth="1"/>
    <col min="73" max="73" width="13" customWidth="1"/>
    <col min="74" max="74" width="14" customWidth="1"/>
    <col min="76" max="83" width="15" customWidth="1"/>
  </cols>
  <sheetData>
    <row r="1" ht="34" customHeight="1" spans="1:74">
      <c r="A1" s="14" t="s">
        <v>46</v>
      </c>
      <c r="B1" s="14"/>
      <c r="C1" s="14"/>
      <c r="D1" s="14"/>
      <c r="E1" s="14"/>
      <c r="F1" s="14"/>
      <c r="G1" s="14"/>
      <c r="H1" s="14"/>
      <c r="J1" s="17" t="s">
        <v>47</v>
      </c>
      <c r="K1" s="18" t="s">
        <v>48</v>
      </c>
      <c r="L1" s="19">
        <v>95</v>
      </c>
      <c r="N1" s="23" t="s">
        <v>49</v>
      </c>
      <c r="O1" s="24" t="s">
        <v>50</v>
      </c>
      <c r="P1" s="24" t="s">
        <v>51</v>
      </c>
      <c r="Q1" s="24" t="s">
        <v>52</v>
      </c>
      <c r="R1" s="24" t="s">
        <v>53</v>
      </c>
      <c r="S1" s="24" t="s">
        <v>54</v>
      </c>
      <c r="U1" s="23" t="s">
        <v>55</v>
      </c>
      <c r="V1" s="17" t="s">
        <v>56</v>
      </c>
      <c r="W1">
        <f ca="1">IF($R$101=0,1,0)</f>
        <v>1</v>
      </c>
      <c r="Y1" s="23" t="s">
        <v>57</v>
      </c>
      <c r="Z1" s="24" t="s">
        <v>58</v>
      </c>
      <c r="AA1" s="24" t="s">
        <v>59</v>
      </c>
      <c r="AB1" s="24" t="s">
        <v>60</v>
      </c>
      <c r="AC1" s="24" t="s">
        <v>61</v>
      </c>
      <c r="AD1" s="24" t="s">
        <v>62</v>
      </c>
      <c r="AF1" t="s">
        <v>63</v>
      </c>
      <c r="AG1" s="17" t="s">
        <v>64</v>
      </c>
      <c r="AH1" s="17" t="s">
        <v>65</v>
      </c>
      <c r="AI1" s="31">
        <f ca="1">AVERAGE(polulation_die)</f>
        <v>0.993</v>
      </c>
      <c r="AJ1" s="17" t="s">
        <v>66</v>
      </c>
      <c r="AK1" s="17">
        <f ca="1">AI1-1.96*STDEV(polulation_die)/SQRT(N)</f>
        <v>0.987829923473362</v>
      </c>
      <c r="AL1" s="17" t="s">
        <v>67</v>
      </c>
      <c r="AM1" s="17">
        <f ca="1">AI1+1.96*STDEV(polulation_die)/SQRT(N)</f>
        <v>0.998170076526638</v>
      </c>
      <c r="AO1" t="s">
        <v>49</v>
      </c>
      <c r="AP1" s="23" t="s">
        <v>50</v>
      </c>
      <c r="AQ1" s="24" t="s">
        <v>51</v>
      </c>
      <c r="AR1" s="24" t="s">
        <v>68</v>
      </c>
      <c r="AS1" s="24" t="s">
        <v>69</v>
      </c>
      <c r="AT1" s="24" t="s">
        <v>70</v>
      </c>
      <c r="AU1" s="24"/>
      <c r="AV1" t="s">
        <v>55</v>
      </c>
      <c r="AW1" s="23" t="s">
        <v>56</v>
      </c>
      <c r="AX1" s="17">
        <f ca="1">IF($AS$101=0,1,0)</f>
        <v>1</v>
      </c>
      <c r="AZ1" t="s">
        <v>57</v>
      </c>
      <c r="BA1" s="23" t="s">
        <v>58</v>
      </c>
      <c r="BB1" s="24" t="s">
        <v>71</v>
      </c>
      <c r="BC1" s="24" t="s">
        <v>72</v>
      </c>
      <c r="BD1" s="24" t="s">
        <v>73</v>
      </c>
      <c r="BE1" s="24" t="s">
        <v>74</v>
      </c>
      <c r="BG1" t="s">
        <v>63</v>
      </c>
      <c r="BH1" s="17" t="s">
        <v>75</v>
      </c>
      <c r="BI1" s="17" t="s">
        <v>76</v>
      </c>
      <c r="BJ1" s="31">
        <f ca="1">AVERAGE(polulation_die_protection)</f>
        <v>0.56</v>
      </c>
      <c r="BK1" s="17" t="s">
        <v>66</v>
      </c>
      <c r="BL1" s="17">
        <f ca="1">BJ1-1.96*STDEV(polulation_die_protection)/SQRT(N)</f>
        <v>0.529218223609451</v>
      </c>
      <c r="BM1" s="17" t="s">
        <v>67</v>
      </c>
      <c r="BN1" s="17">
        <f ca="1">p_population_dieout_protection+1.96*STDEV(polulation_die_protection)/SQRT(N)</f>
        <v>0.590781776390549</v>
      </c>
      <c r="BP1" s="17" t="s">
        <v>77</v>
      </c>
      <c r="BQ1" s="17" t="s">
        <v>78</v>
      </c>
      <c r="BR1" s="35">
        <f ca="1">AVERAGE(accumulative_tax)</f>
        <v>12608.37</v>
      </c>
      <c r="BS1" s="17" t="s">
        <v>66</v>
      </c>
      <c r="BT1" s="17">
        <f ca="1">avg_tax_no_protection-1.96*STDEV(accumulative_tax)/SQRT(N)</f>
        <v>12548.1053436132</v>
      </c>
      <c r="BU1" s="17" t="s">
        <v>67</v>
      </c>
      <c r="BV1" s="17">
        <f ca="1">avg_tax_no_protection+1.96*STDEV(accumulative_tax)/SQRT(N)</f>
        <v>12668.6346563868</v>
      </c>
    </row>
    <row r="2" ht="18" spans="1:74">
      <c r="A2" s="14"/>
      <c r="B2" s="14"/>
      <c r="C2" s="14"/>
      <c r="D2" s="14"/>
      <c r="E2" s="14"/>
      <c r="F2" s="14"/>
      <c r="G2" s="14"/>
      <c r="H2" s="14"/>
      <c r="J2" s="20"/>
      <c r="K2" s="21" t="s">
        <v>79</v>
      </c>
      <c r="L2" s="22">
        <v>5</v>
      </c>
      <c r="O2" s="25" cm="1">
        <f t="array" ref="O2:O101">_xlfn.SEQUENCE(100)</f>
        <v>1</v>
      </c>
      <c r="P2" s="26">
        <f>(1-p_encounter*p_infected)^I1_</f>
        <v>0.881095693359375</v>
      </c>
      <c r="Q2" s="27">
        <f>S1_</f>
        <v>95</v>
      </c>
      <c r="R2" s="27">
        <f>I1_</f>
        <v>5</v>
      </c>
      <c r="S2" s="27">
        <f>population-S1_-I1_</f>
        <v>0</v>
      </c>
      <c r="V2" s="20" t="s">
        <v>80</v>
      </c>
      <c r="W2">
        <f ca="1">IF($S$101=100,1,0)</f>
        <v>1</v>
      </c>
      <c r="Z2" s="20" cm="1">
        <f t="array" ref="Z2:Z1001">_xlfn.SEQUENCE(1000)</f>
        <v>1</v>
      </c>
      <c r="AA2" s="28">
        <f ca="1">disease_dieout</f>
        <v>1</v>
      </c>
      <c r="AB2" s="28">
        <f ca="1">population_dieout</f>
        <v>1</v>
      </c>
      <c r="AC2" s="29">
        <f ca="1">infection_rate</f>
        <v>1</v>
      </c>
      <c r="AD2" s="30">
        <f ca="1">W4</f>
        <v>11320</v>
      </c>
      <c r="AG2" s="32" t="s">
        <v>81</v>
      </c>
      <c r="AH2" s="33" t="s">
        <v>82</v>
      </c>
      <c r="AI2" s="34">
        <f ca="1">AVERAGE(disease_die)</f>
        <v>0.993</v>
      </c>
      <c r="AJ2" s="33" t="s">
        <v>66</v>
      </c>
      <c r="AK2" s="33">
        <f ca="1">AI2-1.96*STDEV(disease_die)/SQRT(N)</f>
        <v>0.987829923473362</v>
      </c>
      <c r="AL2" s="33" t="s">
        <v>67</v>
      </c>
      <c r="AM2" s="33">
        <f ca="1">AI2+1.96*STDEV(disease_die)/SQRT(N)</f>
        <v>0.998170076526638</v>
      </c>
      <c r="AP2" cm="1">
        <f t="array" ref="AP2:AP101">_xlfn.SEQUENCE(100)</f>
        <v>1</v>
      </c>
      <c r="AQ2" s="26">
        <f>(1-p_encounter_protection*p_infected_protection)^I1_</f>
        <v>0.975248753121875</v>
      </c>
      <c r="AR2" s="27">
        <f>S1_</f>
        <v>95</v>
      </c>
      <c r="AS2" s="27">
        <f>I1_</f>
        <v>5</v>
      </c>
      <c r="AT2" s="27">
        <f>population-AR2-AS2</f>
        <v>0</v>
      </c>
      <c r="AU2" s="25"/>
      <c r="AW2" t="s">
        <v>80</v>
      </c>
      <c r="AX2" s="20">
        <f ca="1">IF($AT$101=100,1,0)</f>
        <v>1</v>
      </c>
      <c r="BA2" cm="1">
        <f t="array" ref="BA2:BA1001">_xlfn.SEQUENCE(1000)</f>
        <v>1</v>
      </c>
      <c r="BB2" s="28">
        <f ca="1">AX1</f>
        <v>1</v>
      </c>
      <c r="BC2" s="28">
        <f ca="1">AX2</f>
        <v>1</v>
      </c>
      <c r="BD2" s="29">
        <f ca="1">AX3</f>
        <v>1</v>
      </c>
      <c r="BE2" s="30">
        <f ca="1">AX4</f>
        <v>17590</v>
      </c>
      <c r="BH2" s="33"/>
      <c r="BI2" s="33" t="s">
        <v>83</v>
      </c>
      <c r="BJ2" s="34">
        <f ca="1">AVERAGE(disease_die_protection)</f>
        <v>0.996</v>
      </c>
      <c r="BK2" s="33" t="s">
        <v>66</v>
      </c>
      <c r="BL2" s="33">
        <f ca="1">BJ2-1.96*STDEV(disease_die_protection)/SQRT(N)</f>
        <v>0.992085890311367</v>
      </c>
      <c r="BM2" s="33" t="s">
        <v>67</v>
      </c>
      <c r="BN2" s="33">
        <f ca="1">p_disease_dieout_protection+1.96*STDEV(disease_die_protection)/SQRT(N)</f>
        <v>0.999914109688633</v>
      </c>
      <c r="BP2" s="33"/>
      <c r="BQ2" s="33" t="s">
        <v>84</v>
      </c>
      <c r="BR2" s="36">
        <f ca="1">AVERAGE(accumulative_tax_protection)</f>
        <v>17138.71</v>
      </c>
      <c r="BS2" s="33" t="s">
        <v>66</v>
      </c>
      <c r="BT2" s="33">
        <f ca="1">avg_tax_protection-1.96*STDEV(accumulative_tax_protection)/SQRT(N)</f>
        <v>17051.554978683</v>
      </c>
      <c r="BU2" s="33" t="s">
        <v>67</v>
      </c>
      <c r="BV2" s="33">
        <f ca="1">avg_tax_protection+1.96*STDEV(accumulative_tax_protection)/SQRT(N)</f>
        <v>17225.865021317</v>
      </c>
    </row>
    <row r="3" ht="18" spans="10:74">
      <c r="J3" s="20"/>
      <c r="K3" s="21" t="s">
        <v>85</v>
      </c>
      <c r="L3" s="22">
        <v>100</v>
      </c>
      <c r="O3" s="25">
        <v>2</v>
      </c>
      <c r="P3" s="26">
        <f ca="1">(1-p_encounter*p_infected)^R3</f>
        <v>0.63399098510885</v>
      </c>
      <c r="Q3" s="27">
        <f ca="1">_xlfn.BINOM.INV(S1_,p1_,RAND())</f>
        <v>82</v>
      </c>
      <c r="R3" s="27">
        <f ca="1">_xlfn.BINOM.INV(I1_,1-p_die,RAND())+Q2-Q3</f>
        <v>18</v>
      </c>
      <c r="S3" s="27">
        <f ca="1">100-Q3-R3</f>
        <v>0</v>
      </c>
      <c r="V3" s="20" t="s">
        <v>86</v>
      </c>
      <c r="W3">
        <f ca="1">($R$101+$S$101)/100</f>
        <v>1</v>
      </c>
      <c r="Z3" s="20">
        <v>2</v>
      </c>
      <c r="AA3" s="28">
        <v>1</v>
      </c>
      <c r="AB3" s="28">
        <v>1</v>
      </c>
      <c r="AC3" s="29">
        <v>1</v>
      </c>
      <c r="AD3" s="30">
        <v>13910</v>
      </c>
      <c r="AG3" s="32" t="s">
        <v>87</v>
      </c>
      <c r="AH3" s="33" t="s">
        <v>88</v>
      </c>
      <c r="AI3" s="34">
        <f ca="1">AVERAGE(r_infection)</f>
        <v>1</v>
      </c>
      <c r="AJ3" s="33" t="s">
        <v>66</v>
      </c>
      <c r="AK3" s="33">
        <f ca="1">AI3-1.96*STDEV(r_infection)/SQRT(N)</f>
        <v>1</v>
      </c>
      <c r="AL3" s="33" t="s">
        <v>67</v>
      </c>
      <c r="AM3" s="33">
        <f ca="1">AI3+1.96*STDEV(r_infection)/SQRT(N)</f>
        <v>1</v>
      </c>
      <c r="AP3">
        <v>2</v>
      </c>
      <c r="AQ3" s="26">
        <f ca="1">(1-p_encounter_protection*p_infected_protection)^AS3</f>
        <v>0.960693043575437</v>
      </c>
      <c r="AR3" s="27">
        <f ca="1">_xlfn.BINOM.INV(S1_,p1_protection,RAND())</f>
        <v>92</v>
      </c>
      <c r="AS3" s="27">
        <f ca="1">_xlfn.BINOM.INV(I1_,1-p_die,RAND())+AR2-AR3</f>
        <v>8</v>
      </c>
      <c r="AT3" s="27">
        <f ca="1">100-AR3-AS3</f>
        <v>0</v>
      </c>
      <c r="AU3" s="25"/>
      <c r="AW3" t="s">
        <v>86</v>
      </c>
      <c r="AX3" s="20">
        <f ca="1">($AS$101+$AT$101)/100</f>
        <v>1</v>
      </c>
      <c r="BA3">
        <v>2</v>
      </c>
      <c r="BB3" s="28">
        <v>1</v>
      </c>
      <c r="BC3" s="28">
        <v>0</v>
      </c>
      <c r="BD3" s="29">
        <v>0.99</v>
      </c>
      <c r="BE3" s="30">
        <v>17010</v>
      </c>
      <c r="BH3" s="33"/>
      <c r="BI3" s="33" t="s">
        <v>89</v>
      </c>
      <c r="BJ3" s="34">
        <f ca="1">AVERAGE(r_infection_protection)</f>
        <v>0.993520000000004</v>
      </c>
      <c r="BK3" s="33" t="s">
        <v>66</v>
      </c>
      <c r="BL3" s="33">
        <f ca="1">BJ3-1.96*STDEV(r_infection_protection)/SQRT(N)</f>
        <v>0.992930368602821</v>
      </c>
      <c r="BM3" s="33" t="s">
        <v>67</v>
      </c>
      <c r="BN3" s="33">
        <f ca="1">avg_infection_rate_protection+1.96*STDEV(r_infection_protection)/SQRT(N)</f>
        <v>0.994109631397188</v>
      </c>
      <c r="BP3" s="33"/>
      <c r="BQ3" s="33" t="s">
        <v>90</v>
      </c>
      <c r="BR3" s="36">
        <f ca="1">avg_tax_protection-avg_tax_no_protection</f>
        <v>4530.34</v>
      </c>
      <c r="BS3" s="33"/>
      <c r="BT3" s="33"/>
      <c r="BU3" s="33"/>
      <c r="BV3" s="33"/>
    </row>
    <row r="4" ht="18" spans="1:57">
      <c r="A4" s="15" t="s">
        <v>91</v>
      </c>
      <c r="B4" s="15"/>
      <c r="C4" s="15"/>
      <c r="D4" s="15"/>
      <c r="E4" s="15"/>
      <c r="F4" s="15"/>
      <c r="G4" s="15"/>
      <c r="H4" s="15"/>
      <c r="J4" s="20"/>
      <c r="K4" s="21" t="s">
        <v>92</v>
      </c>
      <c r="L4" s="22">
        <v>0.05</v>
      </c>
      <c r="O4" s="25">
        <v>3</v>
      </c>
      <c r="P4" s="26">
        <f ca="1">(1-p_encounter*p_infected)^R4</f>
        <v>0.281988102340917</v>
      </c>
      <c r="Q4" s="27">
        <f ca="1">IF(R3=0,Q3,_xlfn.BINOM.INV(Q3,P3,RAND()))</f>
        <v>47</v>
      </c>
      <c r="R4" s="27">
        <f ca="1">IF(R3&gt;0,_xlfn.BINOM.INV(R3,1-p_die,RAND()),0)+(Q3-Q4)</f>
        <v>50</v>
      </c>
      <c r="S4" s="27">
        <f ca="1">100-Q4-R4</f>
        <v>3</v>
      </c>
      <c r="V4" s="20" t="s">
        <v>62</v>
      </c>
      <c r="W4">
        <f ca="1">10*(SUM(St)+SUM(It))</f>
        <v>11320</v>
      </c>
      <c r="Z4" s="20">
        <v>3</v>
      </c>
      <c r="AA4" s="28">
        <v>1</v>
      </c>
      <c r="AB4" s="28">
        <v>1</v>
      </c>
      <c r="AC4" s="29">
        <v>1</v>
      </c>
      <c r="AD4" s="30">
        <v>11980</v>
      </c>
      <c r="AP4">
        <v>3</v>
      </c>
      <c r="AQ4" s="26">
        <f ca="1">(1-p_encounter_protection*p_infected_protection)^AS4</f>
        <v>0.941622806914376</v>
      </c>
      <c r="AR4" s="27">
        <f ca="1">IF(AS3=0,AR3,_xlfn.BINOM.INV(AR3,AQ3,RAND()))</f>
        <v>88</v>
      </c>
      <c r="AS4" s="27">
        <f ca="1">IF(AS3&gt;0,_xlfn.BINOM.INV(AS3,1-p_die,RAND()),0)+(AR3-AR4)</f>
        <v>12</v>
      </c>
      <c r="AT4" s="27">
        <f ca="1">100-AR4-AS4</f>
        <v>0</v>
      </c>
      <c r="AU4" s="25"/>
      <c r="AW4" t="s">
        <v>62</v>
      </c>
      <c r="AX4" s="20">
        <f ca="1">10*(SUM(St_protection)+SUM(It_protection))</f>
        <v>17590</v>
      </c>
      <c r="BA4">
        <v>3</v>
      </c>
      <c r="BB4" s="28">
        <v>1</v>
      </c>
      <c r="BC4" s="28">
        <v>1</v>
      </c>
      <c r="BD4" s="29">
        <v>1</v>
      </c>
      <c r="BE4" s="30">
        <v>15500</v>
      </c>
    </row>
    <row r="5" ht="18" spans="1:57">
      <c r="A5" s="16" t="s">
        <v>93</v>
      </c>
      <c r="B5" s="16"/>
      <c r="C5" s="16"/>
      <c r="D5" s="16"/>
      <c r="E5" s="16"/>
      <c r="F5" s="16"/>
      <c r="G5" s="16"/>
      <c r="H5" s="16"/>
      <c r="J5" s="20"/>
      <c r="K5" s="21" t="s">
        <v>94</v>
      </c>
      <c r="L5" s="22">
        <v>0.05</v>
      </c>
      <c r="O5" s="25">
        <v>4</v>
      </c>
      <c r="P5" s="26">
        <f ca="1">(1-p_encounter*p_infected)^R5</f>
        <v>0.142349323905692</v>
      </c>
      <c r="Q5" s="27">
        <f ca="1" t="shared" ref="Q5:Q68" si="0">IF(R4=0,Q4,_xlfn.BINOM.INV(Q4,P4,RAND()))</f>
        <v>13</v>
      </c>
      <c r="R5" s="27">
        <f ca="1">IF(R4&gt;0,_xlfn.BINOM.INV(R4,1-p_die,RAND()),0)+(Q4-Q5)</f>
        <v>77</v>
      </c>
      <c r="S5" s="27">
        <f ca="1" t="shared" ref="S5:S68" si="1">100-Q5-R5</f>
        <v>10</v>
      </c>
      <c r="Z5" s="20">
        <v>4</v>
      </c>
      <c r="AA5" s="28">
        <v>1</v>
      </c>
      <c r="AB5" s="28">
        <v>1</v>
      </c>
      <c r="AC5" s="29">
        <v>1</v>
      </c>
      <c r="AD5" s="30">
        <v>13570</v>
      </c>
      <c r="AP5">
        <v>4</v>
      </c>
      <c r="AQ5" s="26">
        <f ca="1">(1-p_encounter_protection*p_infected_protection)^AS5</f>
        <v>0.90915626158253</v>
      </c>
      <c r="AR5" s="27">
        <f ca="1" t="shared" ref="AR5:AR68" si="2">IF(AS4=0,AR4,_xlfn.BINOM.INV(AR4,AQ4,RAND()))</f>
        <v>81</v>
      </c>
      <c r="AS5" s="27">
        <f ca="1">IF(AS4&gt;0,_xlfn.BINOM.INV(AS4,1-p_die,RAND()),0)+(AR4-AR5)</f>
        <v>19</v>
      </c>
      <c r="AT5" s="27">
        <f ca="1" t="shared" ref="AT5:AT68" si="3">100-AR5-AS5</f>
        <v>0</v>
      </c>
      <c r="AU5" s="25"/>
      <c r="BA5">
        <v>4</v>
      </c>
      <c r="BB5" s="28">
        <v>1</v>
      </c>
      <c r="BC5" s="28">
        <v>1</v>
      </c>
      <c r="BD5" s="29">
        <v>1</v>
      </c>
      <c r="BE5" s="30">
        <v>14820</v>
      </c>
    </row>
    <row r="6" ht="18" spans="1:57">
      <c r="A6" s="16"/>
      <c r="B6" s="16"/>
      <c r="C6" s="16"/>
      <c r="D6" s="16"/>
      <c r="E6" s="16"/>
      <c r="F6" s="16"/>
      <c r="G6" s="16"/>
      <c r="H6" s="16"/>
      <c r="J6" s="20"/>
      <c r="K6" s="21" t="s">
        <v>95</v>
      </c>
      <c r="L6" s="22">
        <v>0.5</v>
      </c>
      <c r="O6" s="25">
        <v>5</v>
      </c>
      <c r="P6" s="26">
        <f ca="1">(1-p_encounter*p_infected)^R6</f>
        <v>0.122287791839776</v>
      </c>
      <c r="Q6" s="27">
        <f ca="1" t="shared" si="0"/>
        <v>1</v>
      </c>
      <c r="R6" s="27">
        <f ca="1">IF(R5&gt;0,_xlfn.BINOM.INV(R5,1-p_die,RAND()),0)+(Q5-Q6)</f>
        <v>83</v>
      </c>
      <c r="S6" s="27">
        <f ca="1" t="shared" si="1"/>
        <v>16</v>
      </c>
      <c r="Z6" s="20">
        <v>5</v>
      </c>
      <c r="AA6" s="28">
        <v>1</v>
      </c>
      <c r="AB6" s="28">
        <v>1</v>
      </c>
      <c r="AC6" s="29">
        <v>1</v>
      </c>
      <c r="AD6" s="30">
        <v>11060</v>
      </c>
      <c r="AP6">
        <v>5</v>
      </c>
      <c r="AQ6" s="26">
        <f ca="1">(1-p_encounter_protection*p_infected_protection)^AS6</f>
        <v>0.877809141734057</v>
      </c>
      <c r="AR6" s="27">
        <f ca="1" t="shared" si="2"/>
        <v>72</v>
      </c>
      <c r="AS6" s="27">
        <f ca="1">IF(AS5&gt;0,_xlfn.BINOM.INV(AS5,1-p_die,RAND()),0)+(AR5-AR6)</f>
        <v>26</v>
      </c>
      <c r="AT6" s="27">
        <f ca="1" t="shared" si="3"/>
        <v>2</v>
      </c>
      <c r="AU6" s="25"/>
      <c r="BA6">
        <v>5</v>
      </c>
      <c r="BB6" s="28">
        <v>1</v>
      </c>
      <c r="BC6" s="28">
        <v>1</v>
      </c>
      <c r="BD6" s="29">
        <v>1</v>
      </c>
      <c r="BE6" s="30">
        <v>16610</v>
      </c>
    </row>
    <row r="7" ht="18" spans="1:57">
      <c r="A7" s="16"/>
      <c r="B7" s="16"/>
      <c r="C7" s="16"/>
      <c r="D7" s="16"/>
      <c r="E7" s="16"/>
      <c r="F7" s="16"/>
      <c r="G7" s="16"/>
      <c r="H7" s="16"/>
      <c r="J7" s="20"/>
      <c r="K7" s="21" t="s">
        <v>96</v>
      </c>
      <c r="L7" s="22">
        <v>0.1</v>
      </c>
      <c r="O7" s="25">
        <v>6</v>
      </c>
      <c r="P7" s="26">
        <f ca="1">(1-p_encounter*p_infected)^R7</f>
        <v>0.161559436708803</v>
      </c>
      <c r="Q7" s="27">
        <f ca="1" t="shared" si="0"/>
        <v>0</v>
      </c>
      <c r="R7" s="27">
        <f ca="1">IF(R6&gt;0,_xlfn.BINOM.INV(R6,1-p_die,RAND()),0)+(Q6-Q7)</f>
        <v>72</v>
      </c>
      <c r="S7" s="27">
        <f ca="1" t="shared" si="1"/>
        <v>28</v>
      </c>
      <c r="Z7" s="20">
        <v>6</v>
      </c>
      <c r="AA7" s="28">
        <v>1</v>
      </c>
      <c r="AB7" s="28">
        <v>1</v>
      </c>
      <c r="AC7" s="29">
        <v>1</v>
      </c>
      <c r="AD7" s="30">
        <v>12550</v>
      </c>
      <c r="AP7">
        <v>6</v>
      </c>
      <c r="AQ7" s="26">
        <f ca="1">(1-p_encounter_protection*p_infected_protection)^AS7</f>
        <v>0.856082270955123</v>
      </c>
      <c r="AR7" s="27">
        <f ca="1" t="shared" si="2"/>
        <v>66</v>
      </c>
      <c r="AS7" s="27">
        <f ca="1">IF(AS6&gt;0,_xlfn.BINOM.INV(AS6,1-p_die,RAND()),0)+(AR6-AR7)</f>
        <v>31</v>
      </c>
      <c r="AT7" s="27">
        <f ca="1" t="shared" si="3"/>
        <v>3</v>
      </c>
      <c r="AU7" s="25"/>
      <c r="BA7">
        <v>6</v>
      </c>
      <c r="BB7" s="28">
        <v>1</v>
      </c>
      <c r="BC7" s="28">
        <v>0</v>
      </c>
      <c r="BD7" s="29">
        <v>0.99</v>
      </c>
      <c r="BE7" s="30">
        <v>17360</v>
      </c>
    </row>
    <row r="8" ht="18" spans="1:57">
      <c r="A8" s="16"/>
      <c r="B8" s="16"/>
      <c r="C8" s="16"/>
      <c r="D8" s="16"/>
      <c r="E8" s="16"/>
      <c r="F8" s="16"/>
      <c r="G8" s="16"/>
      <c r="H8" s="16"/>
      <c r="J8" s="20"/>
      <c r="K8" s="21" t="s">
        <v>97</v>
      </c>
      <c r="L8" s="22">
        <v>0.1</v>
      </c>
      <c r="O8" s="25">
        <v>7</v>
      </c>
      <c r="P8" s="26">
        <f ca="1">(1-p_encounter*p_infected)^R8</f>
        <v>0.192885695084104</v>
      </c>
      <c r="Q8" s="27">
        <f ca="1" t="shared" si="0"/>
        <v>0</v>
      </c>
      <c r="R8" s="27">
        <f ca="1">IF(R7&gt;0,_xlfn.BINOM.INV(R7,1-p_die,RAND()),0)+(Q7-Q8)</f>
        <v>65</v>
      </c>
      <c r="S8" s="27">
        <f ca="1" t="shared" si="1"/>
        <v>35</v>
      </c>
      <c r="Z8" s="20">
        <v>7</v>
      </c>
      <c r="AA8" s="28">
        <v>1</v>
      </c>
      <c r="AB8" s="28">
        <v>1</v>
      </c>
      <c r="AC8" s="29">
        <v>1</v>
      </c>
      <c r="AD8" s="30">
        <v>12980</v>
      </c>
      <c r="AP8">
        <v>7</v>
      </c>
      <c r="AQ8" s="26">
        <f ca="1">(1-p_encounter_protection*p_infected_protection)^AS8</f>
        <v>0.864707730567534</v>
      </c>
      <c r="AR8" s="27">
        <f ca="1" t="shared" si="2"/>
        <v>63</v>
      </c>
      <c r="AS8" s="27">
        <f ca="1">IF(AS7&gt;0,_xlfn.BINOM.INV(AS7,1-p_die,RAND()),0)+(AR7-AR8)</f>
        <v>29</v>
      </c>
      <c r="AT8" s="27">
        <f ca="1" t="shared" si="3"/>
        <v>8</v>
      </c>
      <c r="AU8" s="25"/>
      <c r="BA8">
        <v>7</v>
      </c>
      <c r="BB8" s="28">
        <v>1</v>
      </c>
      <c r="BC8" s="28">
        <v>1</v>
      </c>
      <c r="BD8" s="29">
        <v>1</v>
      </c>
      <c r="BE8" s="30">
        <v>17420</v>
      </c>
    </row>
    <row r="9" ht="18" spans="10:57">
      <c r="J9" s="20"/>
      <c r="K9" s="21" t="s">
        <v>98</v>
      </c>
      <c r="L9" s="22">
        <f>(1-p_encounter*p_infected)^I1_</f>
        <v>0.881095693359375</v>
      </c>
      <c r="O9" s="25">
        <v>8</v>
      </c>
      <c r="P9" s="26">
        <f ca="1">(1-p_encounter*p_infected)^R9</f>
        <v>0.230286092388008</v>
      </c>
      <c r="Q9" s="27">
        <f ca="1" t="shared" si="0"/>
        <v>0</v>
      </c>
      <c r="R9" s="27">
        <f ca="1">IF(R8&gt;0,_xlfn.BINOM.INV(R8,1-p_die,RAND()),0)+(Q8-Q9)</f>
        <v>58</v>
      </c>
      <c r="S9" s="27">
        <f ca="1" t="shared" si="1"/>
        <v>42</v>
      </c>
      <c r="Z9" s="20">
        <v>8</v>
      </c>
      <c r="AA9" s="28">
        <v>1</v>
      </c>
      <c r="AB9" s="28">
        <v>1</v>
      </c>
      <c r="AC9" s="29">
        <v>1</v>
      </c>
      <c r="AD9" s="30">
        <v>14160</v>
      </c>
      <c r="AP9">
        <v>8</v>
      </c>
      <c r="AQ9" s="26">
        <f ca="1">(1-p_encounter_protection*p_infected_protection)^AS9</f>
        <v>0.843305136050833</v>
      </c>
      <c r="AR9" s="27">
        <f ca="1" t="shared" si="2"/>
        <v>53</v>
      </c>
      <c r="AS9" s="27">
        <f ca="1">IF(AS8&gt;0,_xlfn.BINOM.INV(AS8,1-p_die,RAND()),0)+(AR8-AR9)</f>
        <v>34</v>
      </c>
      <c r="AT9" s="27">
        <f ca="1" t="shared" si="3"/>
        <v>13</v>
      </c>
      <c r="AU9" s="25"/>
      <c r="BA9">
        <v>8</v>
      </c>
      <c r="BB9" s="28">
        <v>1</v>
      </c>
      <c r="BC9" s="28">
        <v>1</v>
      </c>
      <c r="BD9" s="29">
        <v>1</v>
      </c>
      <c r="BE9" s="30">
        <v>16330</v>
      </c>
    </row>
    <row r="10" ht="18" spans="1:57">
      <c r="A10" s="15" t="s">
        <v>99</v>
      </c>
      <c r="B10" s="15"/>
      <c r="C10" s="15"/>
      <c r="D10" s="15"/>
      <c r="E10" s="15"/>
      <c r="F10" s="15"/>
      <c r="G10" s="15"/>
      <c r="H10" s="15"/>
      <c r="J10" s="20"/>
      <c r="K10" s="21" t="s">
        <v>100</v>
      </c>
      <c r="L10" s="22">
        <f>(1-p_encounter_protection*p_infected_protection)^I1_</f>
        <v>0.975248753121875</v>
      </c>
      <c r="O10" s="25">
        <v>9</v>
      </c>
      <c r="P10" s="26">
        <f ca="1">(1-p_encounter*p_infected)^R10</f>
        <v>0.242247039987385</v>
      </c>
      <c r="Q10" s="27">
        <f ca="1" t="shared" si="0"/>
        <v>0</v>
      </c>
      <c r="R10" s="27">
        <f ca="1">IF(R9&gt;0,_xlfn.BINOM.INV(R9,1-p_die,RAND()),0)+(Q9-Q10)</f>
        <v>56</v>
      </c>
      <c r="S10" s="27">
        <f ca="1" t="shared" si="1"/>
        <v>44</v>
      </c>
      <c r="Z10" s="20">
        <v>9</v>
      </c>
      <c r="AA10" s="28">
        <v>1</v>
      </c>
      <c r="AB10" s="28">
        <v>1</v>
      </c>
      <c r="AC10" s="29">
        <v>1</v>
      </c>
      <c r="AD10" s="30">
        <v>12350</v>
      </c>
      <c r="AP10">
        <v>9</v>
      </c>
      <c r="AQ10" s="26">
        <f ca="1">(1-p_encounter_protection*p_infected_protection)^AS10</f>
        <v>0.806106590926396</v>
      </c>
      <c r="AR10" s="27">
        <f ca="1" t="shared" si="2"/>
        <v>43</v>
      </c>
      <c r="AS10" s="27">
        <f ca="1">IF(AS9&gt;0,_xlfn.BINOM.INV(AS9,1-p_die,RAND()),0)+(AR9-AR10)</f>
        <v>43</v>
      </c>
      <c r="AT10" s="27">
        <f ca="1" t="shared" si="3"/>
        <v>14</v>
      </c>
      <c r="AU10" s="25"/>
      <c r="BA10">
        <v>9</v>
      </c>
      <c r="BB10" s="28">
        <v>1</v>
      </c>
      <c r="BC10" s="28">
        <v>1</v>
      </c>
      <c r="BD10" s="29">
        <v>1</v>
      </c>
      <c r="BE10" s="30">
        <v>16210</v>
      </c>
    </row>
    <row r="11" ht="18" spans="1:57">
      <c r="A11" s="16" t="s">
        <v>101</v>
      </c>
      <c r="B11" s="16"/>
      <c r="C11" s="16"/>
      <c r="D11" s="16"/>
      <c r="E11" s="16"/>
      <c r="F11" s="16"/>
      <c r="G11" s="16"/>
      <c r="H11" s="16"/>
      <c r="J11" s="20"/>
      <c r="K11" s="21" t="s">
        <v>102</v>
      </c>
      <c r="L11" s="22">
        <v>1000</v>
      </c>
      <c r="O11" s="25">
        <v>10</v>
      </c>
      <c r="P11" s="26">
        <f ca="1">(1-p_encounter*p_infected)^R11</f>
        <v>0.296634427183082</v>
      </c>
      <c r="Q11" s="27">
        <f ca="1" t="shared" si="0"/>
        <v>0</v>
      </c>
      <c r="R11" s="27">
        <f ca="1">IF(R10&gt;0,_xlfn.BINOM.INV(R10,1-p_die,RAND()),0)+(Q10-Q11)</f>
        <v>48</v>
      </c>
      <c r="S11" s="27">
        <f ca="1" t="shared" si="1"/>
        <v>52</v>
      </c>
      <c r="Z11" s="20">
        <v>10</v>
      </c>
      <c r="AA11" s="28">
        <v>1</v>
      </c>
      <c r="AB11" s="28">
        <v>1</v>
      </c>
      <c r="AC11" s="29">
        <v>1</v>
      </c>
      <c r="AD11" s="30">
        <v>12740</v>
      </c>
      <c r="AP11">
        <v>10</v>
      </c>
      <c r="AQ11" s="26">
        <f ca="1">(1-p_encounter_protection*p_infected_protection)^AS11</f>
        <v>0.794075349293495</v>
      </c>
      <c r="AR11" s="27">
        <f ca="1" t="shared" si="2"/>
        <v>33</v>
      </c>
      <c r="AS11" s="27">
        <f ca="1">IF(AS10&gt;0,_xlfn.BINOM.INV(AS10,1-p_die,RAND()),0)+(AR10-AR11)</f>
        <v>46</v>
      </c>
      <c r="AT11" s="27">
        <f ca="1" t="shared" si="3"/>
        <v>21</v>
      </c>
      <c r="AU11" s="25"/>
      <c r="BA11">
        <v>10</v>
      </c>
      <c r="BB11" s="28">
        <v>1</v>
      </c>
      <c r="BC11" s="28">
        <v>0</v>
      </c>
      <c r="BD11" s="29">
        <v>0.99</v>
      </c>
      <c r="BE11" s="30">
        <v>16180</v>
      </c>
    </row>
    <row r="12" spans="1:57">
      <c r="A12" s="16"/>
      <c r="B12" s="16"/>
      <c r="C12" s="16"/>
      <c r="D12" s="16"/>
      <c r="E12" s="16"/>
      <c r="F12" s="16"/>
      <c r="G12" s="16"/>
      <c r="H12" s="16"/>
      <c r="O12" s="25">
        <v>11</v>
      </c>
      <c r="P12" s="26">
        <f ca="1">(1-p_encounter*p_infected)^R12</f>
        <v>0.36323243988788</v>
      </c>
      <c r="Q12" s="27">
        <f ca="1" t="shared" si="0"/>
        <v>0</v>
      </c>
      <c r="R12" s="27">
        <f ca="1">IF(R11&gt;0,_xlfn.BINOM.INV(R11,1-p_die,RAND()),0)+(Q11-Q12)</f>
        <v>40</v>
      </c>
      <c r="S12" s="27">
        <f ca="1" t="shared" si="1"/>
        <v>60</v>
      </c>
      <c r="Z12" s="20">
        <v>11</v>
      </c>
      <c r="AA12" s="28">
        <v>1</v>
      </c>
      <c r="AB12" s="28">
        <v>1</v>
      </c>
      <c r="AC12" s="29">
        <v>1</v>
      </c>
      <c r="AD12" s="30">
        <v>12930</v>
      </c>
      <c r="AP12">
        <v>11</v>
      </c>
      <c r="AQ12" s="26">
        <f ca="1">(1-p_encounter_protection*p_infected_protection)^AS12</f>
        <v>0.806106590926396</v>
      </c>
      <c r="AR12" s="27">
        <f ca="1" t="shared" si="2"/>
        <v>27</v>
      </c>
      <c r="AS12" s="27">
        <f ca="1">IF(AS11&gt;0,_xlfn.BINOM.INV(AS11,1-p_die,RAND()),0)+(AR11-AR12)</f>
        <v>43</v>
      </c>
      <c r="AT12" s="27">
        <f ca="1" t="shared" si="3"/>
        <v>30</v>
      </c>
      <c r="AU12" s="25"/>
      <c r="BA12">
        <v>11</v>
      </c>
      <c r="BB12" s="28">
        <v>1</v>
      </c>
      <c r="BC12" s="28">
        <v>1</v>
      </c>
      <c r="BD12" s="29">
        <v>1</v>
      </c>
      <c r="BE12" s="30">
        <v>14430</v>
      </c>
    </row>
    <row r="13" spans="1:57">
      <c r="A13" s="16"/>
      <c r="B13" s="16"/>
      <c r="C13" s="16"/>
      <c r="D13" s="16"/>
      <c r="E13" s="16"/>
      <c r="F13" s="16"/>
      <c r="G13" s="16"/>
      <c r="H13" s="16"/>
      <c r="O13" s="25">
        <v>12</v>
      </c>
      <c r="P13" s="26">
        <f ca="1">(1-p_encounter*p_infected)^R13</f>
        <v>0.456187190822356</v>
      </c>
      <c r="Q13" s="27">
        <f ca="1" t="shared" si="0"/>
        <v>0</v>
      </c>
      <c r="R13" s="27">
        <f ca="1">IF(R12&gt;0,_xlfn.BINOM.INV(R12,1-p_die,RAND()),0)+(Q12-Q13)</f>
        <v>31</v>
      </c>
      <c r="S13" s="27">
        <f ca="1" t="shared" si="1"/>
        <v>69</v>
      </c>
      <c r="Z13" s="20">
        <v>12</v>
      </c>
      <c r="AA13" s="28">
        <v>1</v>
      </c>
      <c r="AB13" s="28">
        <v>1</v>
      </c>
      <c r="AC13" s="29">
        <v>1</v>
      </c>
      <c r="AD13" s="30">
        <v>13800</v>
      </c>
      <c r="AP13">
        <v>12</v>
      </c>
      <c r="AQ13" s="26">
        <f ca="1">(1-p_encounter_protection*p_infected_protection)^AS13</f>
        <v>0.794075349293495</v>
      </c>
      <c r="AR13" s="27">
        <f ca="1" t="shared" si="2"/>
        <v>22</v>
      </c>
      <c r="AS13" s="27">
        <f ca="1">IF(AS12&gt;0,_xlfn.BINOM.INV(AS12,1-p_die,RAND()),0)+(AR12-AR13)</f>
        <v>46</v>
      </c>
      <c r="AT13" s="27">
        <f ca="1" t="shared" si="3"/>
        <v>32</v>
      </c>
      <c r="AU13" s="25"/>
      <c r="BA13">
        <v>12</v>
      </c>
      <c r="BB13" s="28">
        <v>1</v>
      </c>
      <c r="BC13" s="28">
        <v>0</v>
      </c>
      <c r="BD13" s="29">
        <v>0.96</v>
      </c>
      <c r="BE13" s="30">
        <v>16760</v>
      </c>
    </row>
    <row r="14" spans="1:57">
      <c r="A14" s="16"/>
      <c r="B14" s="16"/>
      <c r="C14" s="16"/>
      <c r="D14" s="16"/>
      <c r="E14" s="16"/>
      <c r="F14" s="16"/>
      <c r="G14" s="16"/>
      <c r="H14" s="16"/>
      <c r="O14" s="25">
        <v>13</v>
      </c>
      <c r="P14" s="26">
        <f ca="1">(1-p_encounter*p_infected)^R14</f>
        <v>0.479881331568554</v>
      </c>
      <c r="Q14" s="27">
        <f ca="1" t="shared" si="0"/>
        <v>0</v>
      </c>
      <c r="R14" s="27">
        <f ca="1">IF(R13&gt;0,_xlfn.BINOM.INV(R13,1-p_die,RAND()),0)+(Q13-Q14)</f>
        <v>29</v>
      </c>
      <c r="S14" s="27">
        <f ca="1" t="shared" si="1"/>
        <v>71</v>
      </c>
      <c r="Z14" s="20">
        <v>13</v>
      </c>
      <c r="AA14" s="28">
        <v>1</v>
      </c>
      <c r="AB14" s="28">
        <v>1</v>
      </c>
      <c r="AC14" s="29">
        <v>1</v>
      </c>
      <c r="AD14" s="30">
        <v>14090</v>
      </c>
      <c r="AP14">
        <v>13</v>
      </c>
      <c r="AQ14" s="26">
        <f ca="1">(1-p_encounter_protection*p_infected_protection)^AS14</f>
        <v>0.782223675445871</v>
      </c>
      <c r="AR14" s="27">
        <f ca="1" t="shared" si="2"/>
        <v>17</v>
      </c>
      <c r="AS14" s="27">
        <f ca="1">IF(AS13&gt;0,_xlfn.BINOM.INV(AS13,1-p_die,RAND()),0)+(AR13-AR14)</f>
        <v>49</v>
      </c>
      <c r="AT14" s="27">
        <f ca="1" t="shared" si="3"/>
        <v>34</v>
      </c>
      <c r="AU14" s="25"/>
      <c r="BA14">
        <v>13</v>
      </c>
      <c r="BB14" s="28">
        <v>1</v>
      </c>
      <c r="BC14" s="28">
        <v>0</v>
      </c>
      <c r="BD14" s="29">
        <v>0.98</v>
      </c>
      <c r="BE14" s="30">
        <v>17500</v>
      </c>
    </row>
    <row r="15" spans="1:57">
      <c r="A15" s="16"/>
      <c r="B15" s="16"/>
      <c r="C15" s="16"/>
      <c r="D15" s="16"/>
      <c r="E15" s="16"/>
      <c r="F15" s="16"/>
      <c r="G15" s="16"/>
      <c r="H15" s="16"/>
      <c r="O15" s="25">
        <v>14</v>
      </c>
      <c r="P15" s="26">
        <f ca="1">(1-p_encounter*p_infected)^R15</f>
        <v>0.517749881494756</v>
      </c>
      <c r="Q15" s="27">
        <f ca="1" t="shared" si="0"/>
        <v>0</v>
      </c>
      <c r="R15" s="27">
        <f ca="1">IF(R14&gt;0,_xlfn.BINOM.INV(R14,1-p_die,RAND()),0)+(Q14-Q15)</f>
        <v>26</v>
      </c>
      <c r="S15" s="27">
        <f ca="1" t="shared" si="1"/>
        <v>74</v>
      </c>
      <c r="Z15" s="20">
        <v>14</v>
      </c>
      <c r="AA15" s="28">
        <v>1</v>
      </c>
      <c r="AB15" s="28">
        <v>1</v>
      </c>
      <c r="AC15" s="29">
        <v>1</v>
      </c>
      <c r="AD15" s="30">
        <v>11740</v>
      </c>
      <c r="AP15">
        <v>14</v>
      </c>
      <c r="AQ15" s="26">
        <f ca="1">(1-p_encounter_protection*p_infected_protection)^AS15</f>
        <v>0.774420994283299</v>
      </c>
      <c r="AR15" s="27">
        <f ca="1" t="shared" si="2"/>
        <v>10</v>
      </c>
      <c r="AS15" s="27">
        <f ca="1">IF(AS14&gt;0,_xlfn.BINOM.INV(AS14,1-p_die,RAND()),0)+(AR14-AR15)</f>
        <v>51</v>
      </c>
      <c r="AT15" s="27">
        <f ca="1" t="shared" si="3"/>
        <v>39</v>
      </c>
      <c r="AU15" s="25"/>
      <c r="BA15">
        <v>14</v>
      </c>
      <c r="BB15" s="28">
        <v>1</v>
      </c>
      <c r="BC15" s="28">
        <v>0</v>
      </c>
      <c r="BD15" s="29">
        <v>0.99</v>
      </c>
      <c r="BE15" s="30">
        <v>17530</v>
      </c>
    </row>
    <row r="16" spans="15:57">
      <c r="O16" s="25">
        <v>15</v>
      </c>
      <c r="P16" s="26">
        <f ca="1">(1-p_encounter*p_infected)^R16</f>
        <v>0.531025519481801</v>
      </c>
      <c r="Q16" s="27">
        <f ca="1" t="shared" si="0"/>
        <v>0</v>
      </c>
      <c r="R16" s="27">
        <f ca="1">IF(R15&gt;0,_xlfn.BINOM.INV(R15,1-p_die,RAND()),0)+(Q15-Q16)</f>
        <v>25</v>
      </c>
      <c r="S16" s="27">
        <f ca="1" t="shared" si="1"/>
        <v>75</v>
      </c>
      <c r="Z16" s="20">
        <v>15</v>
      </c>
      <c r="AA16" s="28">
        <v>1</v>
      </c>
      <c r="AB16" s="28">
        <v>1</v>
      </c>
      <c r="AC16" s="29">
        <v>1</v>
      </c>
      <c r="AD16" s="30">
        <v>10460</v>
      </c>
      <c r="AP16">
        <v>15</v>
      </c>
      <c r="AQ16" s="26">
        <f ca="1">(1-p_encounter_protection*p_infected_protection)^AS16</f>
        <v>0.802076057971764</v>
      </c>
      <c r="AR16" s="27">
        <f ca="1" t="shared" si="2"/>
        <v>7</v>
      </c>
      <c r="AS16" s="27">
        <f ca="1">IF(AS15&gt;0,_xlfn.BINOM.INV(AS15,1-p_die,RAND()),0)+(AR15-AR16)</f>
        <v>44</v>
      </c>
      <c r="AT16" s="27">
        <f ca="1" t="shared" si="3"/>
        <v>49</v>
      </c>
      <c r="AU16" s="25"/>
      <c r="BA16">
        <v>15</v>
      </c>
      <c r="BB16" s="28">
        <v>1</v>
      </c>
      <c r="BC16" s="28">
        <v>1</v>
      </c>
      <c r="BD16" s="29">
        <v>1</v>
      </c>
      <c r="BE16" s="30">
        <v>17150</v>
      </c>
    </row>
    <row r="17" spans="1:57">
      <c r="A17" s="15" t="s">
        <v>103</v>
      </c>
      <c r="B17" s="15"/>
      <c r="C17" s="15"/>
      <c r="D17" s="15"/>
      <c r="E17" s="15"/>
      <c r="F17" s="15"/>
      <c r="G17" s="15"/>
      <c r="H17" s="15"/>
      <c r="O17" s="25">
        <v>16</v>
      </c>
      <c r="P17" s="26">
        <f ca="1">(1-p_encounter*p_infected)^R17</f>
        <v>0.544641558442873</v>
      </c>
      <c r="Q17" s="27">
        <f ca="1" t="shared" si="0"/>
        <v>0</v>
      </c>
      <c r="R17" s="27">
        <f ca="1">IF(R16&gt;0,_xlfn.BINOM.INV(R16,1-p_die,RAND()),0)+(Q16-Q17)</f>
        <v>24</v>
      </c>
      <c r="S17" s="27">
        <f ca="1" t="shared" si="1"/>
        <v>76</v>
      </c>
      <c r="Z17" s="20">
        <v>16</v>
      </c>
      <c r="AA17" s="28">
        <v>1</v>
      </c>
      <c r="AB17" s="28">
        <v>1</v>
      </c>
      <c r="AC17" s="29">
        <v>1</v>
      </c>
      <c r="AD17" s="30">
        <v>12640</v>
      </c>
      <c r="AP17">
        <v>16</v>
      </c>
      <c r="AQ17" s="26">
        <f ca="1">(1-p_encounter_protection*p_infected_protection)^AS17</f>
        <v>0.810157377815473</v>
      </c>
      <c r="AR17" s="27">
        <f ca="1" t="shared" si="2"/>
        <v>6</v>
      </c>
      <c r="AS17" s="27">
        <f ca="1">IF(AS16&gt;0,_xlfn.BINOM.INV(AS16,1-p_die,RAND()),0)+(AR16-AR17)</f>
        <v>42</v>
      </c>
      <c r="AT17" s="27">
        <f ca="1" t="shared" si="3"/>
        <v>52</v>
      </c>
      <c r="AU17" s="25"/>
      <c r="BA17">
        <v>16</v>
      </c>
      <c r="BB17" s="28">
        <v>1</v>
      </c>
      <c r="BC17" s="28">
        <v>0</v>
      </c>
      <c r="BD17" s="29">
        <v>0.97</v>
      </c>
      <c r="BE17" s="30">
        <v>18980</v>
      </c>
    </row>
    <row r="18" spans="1:57">
      <c r="A18" s="16" t="s">
        <v>104</v>
      </c>
      <c r="B18" s="16"/>
      <c r="C18" s="16"/>
      <c r="D18" s="16"/>
      <c r="E18" s="16"/>
      <c r="F18" s="16"/>
      <c r="G18" s="16"/>
      <c r="H18" s="16"/>
      <c r="O18" s="25">
        <v>17</v>
      </c>
      <c r="P18" s="26">
        <f ca="1">(1-p_encounter*p_infected)^R18</f>
        <v>0.6026876802191</v>
      </c>
      <c r="Q18" s="27">
        <f ca="1" t="shared" si="0"/>
        <v>0</v>
      </c>
      <c r="R18" s="27">
        <f ca="1">IF(R17&gt;0,_xlfn.BINOM.INV(R17,1-p_die,RAND()),0)+(Q17-Q18)</f>
        <v>20</v>
      </c>
      <c r="S18" s="27">
        <f ca="1" t="shared" si="1"/>
        <v>80</v>
      </c>
      <c r="Z18" s="20">
        <v>17</v>
      </c>
      <c r="AA18" s="28">
        <v>1</v>
      </c>
      <c r="AB18" s="28">
        <v>1</v>
      </c>
      <c r="AC18" s="29">
        <v>1</v>
      </c>
      <c r="AD18" s="30">
        <v>11730</v>
      </c>
      <c r="AP18">
        <v>17</v>
      </c>
      <c r="AQ18" s="26">
        <f ca="1">(1-p_encounter_protection*p_infected_protection)^AS18</f>
        <v>0.818320121022674</v>
      </c>
      <c r="AR18" s="27">
        <f ca="1" t="shared" si="2"/>
        <v>4</v>
      </c>
      <c r="AS18" s="27">
        <f ca="1">IF(AS17&gt;0,_xlfn.BINOM.INV(AS17,1-p_die,RAND()),0)+(AR17-AR18)</f>
        <v>40</v>
      </c>
      <c r="AT18" s="27">
        <f ca="1" t="shared" si="3"/>
        <v>56</v>
      </c>
      <c r="AU18" s="25"/>
      <c r="BA18">
        <v>17</v>
      </c>
      <c r="BB18" s="28">
        <v>1</v>
      </c>
      <c r="BC18" s="28">
        <v>1</v>
      </c>
      <c r="BD18" s="29">
        <v>1</v>
      </c>
      <c r="BE18" s="30">
        <v>14900</v>
      </c>
    </row>
    <row r="19" spans="1:57">
      <c r="A19" s="16"/>
      <c r="B19" s="16"/>
      <c r="C19" s="16"/>
      <c r="D19" s="16"/>
      <c r="E19" s="16"/>
      <c r="F19" s="16"/>
      <c r="G19" s="16"/>
      <c r="H19" s="16"/>
      <c r="O19" s="25">
        <v>18</v>
      </c>
      <c r="P19" s="26">
        <f ca="1">(1-p_encounter*p_infected)^R19</f>
        <v>0.666920168424825</v>
      </c>
      <c r="Q19" s="27">
        <f ca="1" t="shared" si="0"/>
        <v>0</v>
      </c>
      <c r="R19" s="27">
        <f ca="1">IF(R18&gt;0,_xlfn.BINOM.INV(R18,1-p_die,RAND()),0)+(Q18-Q19)</f>
        <v>16</v>
      </c>
      <c r="S19" s="27">
        <f ca="1" t="shared" si="1"/>
        <v>84</v>
      </c>
      <c r="Z19" s="20">
        <v>18</v>
      </c>
      <c r="AA19" s="28">
        <v>1</v>
      </c>
      <c r="AB19" s="28">
        <v>1</v>
      </c>
      <c r="AC19" s="29">
        <v>1</v>
      </c>
      <c r="AD19" s="30">
        <v>12550</v>
      </c>
      <c r="AP19">
        <v>18</v>
      </c>
      <c r="AQ19" s="26">
        <f ca="1">(1-p_encounter_protection*p_infected_protection)^AS19</f>
        <v>0.830718701482133</v>
      </c>
      <c r="AR19" s="27">
        <f ca="1" t="shared" si="2"/>
        <v>4</v>
      </c>
      <c r="AS19" s="27">
        <f ca="1">IF(AS18&gt;0,_xlfn.BINOM.INV(AS18,1-p_die,RAND()),0)+(AR18-AR19)</f>
        <v>37</v>
      </c>
      <c r="AT19" s="27">
        <f ca="1" t="shared" si="3"/>
        <v>59</v>
      </c>
      <c r="AU19" s="25"/>
      <c r="BA19">
        <v>18</v>
      </c>
      <c r="BB19" s="28">
        <v>1</v>
      </c>
      <c r="BC19" s="28">
        <v>1</v>
      </c>
      <c r="BD19" s="29">
        <v>1</v>
      </c>
      <c r="BE19" s="30">
        <v>16090</v>
      </c>
    </row>
    <row r="20" spans="1:57">
      <c r="A20" s="16"/>
      <c r="B20" s="16"/>
      <c r="C20" s="16"/>
      <c r="D20" s="16"/>
      <c r="E20" s="16"/>
      <c r="F20" s="16"/>
      <c r="G20" s="16"/>
      <c r="H20" s="16"/>
      <c r="O20" s="25">
        <v>19</v>
      </c>
      <c r="P20" s="26">
        <f ca="1">(1-p_encounter*p_infected)^R20</f>
        <v>0.70155967750146</v>
      </c>
      <c r="Q20" s="27">
        <f ca="1" t="shared" si="0"/>
        <v>0</v>
      </c>
      <c r="R20" s="27">
        <f ca="1">IF(R19&gt;0,_xlfn.BINOM.INV(R19,1-p_die,RAND()),0)+(Q19-Q20)</f>
        <v>14</v>
      </c>
      <c r="S20" s="27">
        <f ca="1" t="shared" si="1"/>
        <v>86</v>
      </c>
      <c r="Z20" s="20">
        <v>19</v>
      </c>
      <c r="AA20" s="28">
        <v>1</v>
      </c>
      <c r="AB20" s="28">
        <v>1</v>
      </c>
      <c r="AC20" s="29">
        <v>1</v>
      </c>
      <c r="AD20" s="30">
        <v>13280</v>
      </c>
      <c r="AP20">
        <v>19</v>
      </c>
      <c r="AQ20" s="26">
        <f ca="1">(1-p_encounter_protection*p_infected_protection)^AS20</f>
        <v>0.843305136050833</v>
      </c>
      <c r="AR20" s="27">
        <f ca="1" t="shared" si="2"/>
        <v>3</v>
      </c>
      <c r="AS20" s="27">
        <f ca="1">IF(AS19&gt;0,_xlfn.BINOM.INV(AS19,1-p_die,RAND()),0)+(AR19-AR20)</f>
        <v>34</v>
      </c>
      <c r="AT20" s="27">
        <f ca="1" t="shared" si="3"/>
        <v>63</v>
      </c>
      <c r="AU20" s="25"/>
      <c r="BA20">
        <v>19</v>
      </c>
      <c r="BB20" s="28">
        <v>1</v>
      </c>
      <c r="BC20" s="28">
        <v>1</v>
      </c>
      <c r="BD20" s="29">
        <v>1</v>
      </c>
      <c r="BE20" s="30">
        <v>17110</v>
      </c>
    </row>
    <row r="21" spans="1:57">
      <c r="A21" s="16"/>
      <c r="B21" s="16"/>
      <c r="C21" s="16"/>
      <c r="D21" s="16"/>
      <c r="E21" s="16"/>
      <c r="F21" s="16"/>
      <c r="G21" s="16"/>
      <c r="H21" s="16"/>
      <c r="O21" s="25">
        <v>20</v>
      </c>
      <c r="P21" s="26">
        <f ca="1">(1-p_encounter*p_infected)^R21</f>
        <v>0.70155967750146</v>
      </c>
      <c r="Q21" s="27">
        <f ca="1" t="shared" si="0"/>
        <v>0</v>
      </c>
      <c r="R21" s="27">
        <f ca="1">IF(R20&gt;0,_xlfn.BINOM.INV(R20,1-p_die,RAND()),0)+(Q20-Q21)</f>
        <v>14</v>
      </c>
      <c r="S21" s="27">
        <f ca="1" t="shared" si="1"/>
        <v>86</v>
      </c>
      <c r="Z21" s="20">
        <v>20</v>
      </c>
      <c r="AA21" s="28">
        <v>1</v>
      </c>
      <c r="AB21" s="28">
        <v>1</v>
      </c>
      <c r="AC21" s="29">
        <v>1</v>
      </c>
      <c r="AD21" s="30">
        <v>11230</v>
      </c>
      <c r="AP21">
        <v>20</v>
      </c>
      <c r="AQ21" s="26">
        <f ca="1">(1-p_encounter_protection*p_infected_protection)^AS21</f>
        <v>0.839088610370579</v>
      </c>
      <c r="AR21" s="27">
        <f ca="1" t="shared" si="2"/>
        <v>1</v>
      </c>
      <c r="AS21" s="27">
        <f ca="1">IF(AS20&gt;0,_xlfn.BINOM.INV(AS20,1-p_die,RAND()),0)+(AR20-AR21)</f>
        <v>35</v>
      </c>
      <c r="AT21" s="27">
        <f ca="1" t="shared" si="3"/>
        <v>64</v>
      </c>
      <c r="AU21" s="25"/>
      <c r="BA21">
        <v>20</v>
      </c>
      <c r="BB21" s="28">
        <v>1</v>
      </c>
      <c r="BC21" s="28">
        <v>1</v>
      </c>
      <c r="BD21" s="29">
        <v>1</v>
      </c>
      <c r="BE21" s="30">
        <v>16560</v>
      </c>
    </row>
    <row r="22" spans="1:57">
      <c r="A22" s="16"/>
      <c r="B22" s="16"/>
      <c r="C22" s="16"/>
      <c r="D22" s="16"/>
      <c r="E22" s="16"/>
      <c r="F22" s="16"/>
      <c r="G22" s="16"/>
      <c r="H22" s="16"/>
      <c r="O22" s="25">
        <v>21</v>
      </c>
      <c r="P22" s="26">
        <f ca="1">(1-p_encounter*p_infected)^R22</f>
        <v>0.719548387180985</v>
      </c>
      <c r="Q22" s="27">
        <f ca="1" t="shared" si="0"/>
        <v>0</v>
      </c>
      <c r="R22" s="27">
        <f ca="1">IF(R21&gt;0,_xlfn.BINOM.INV(R21,1-p_die,RAND()),0)+(Q21-Q22)</f>
        <v>13</v>
      </c>
      <c r="S22" s="27">
        <f ca="1" t="shared" si="1"/>
        <v>87</v>
      </c>
      <c r="Z22" s="20">
        <v>21</v>
      </c>
      <c r="AA22" s="28">
        <v>1</v>
      </c>
      <c r="AB22" s="28">
        <v>1</v>
      </c>
      <c r="AC22" s="29">
        <v>1</v>
      </c>
      <c r="AD22" s="30">
        <v>11940</v>
      </c>
      <c r="AP22">
        <v>21</v>
      </c>
      <c r="AQ22" s="26">
        <f ca="1">(1-p_encounter_protection*p_infected_protection)^AS22</f>
        <v>0.851801859600347</v>
      </c>
      <c r="AR22" s="27">
        <f ca="1" t="shared" si="2"/>
        <v>0</v>
      </c>
      <c r="AS22" s="27">
        <f ca="1">IF(AS21&gt;0,_xlfn.BINOM.INV(AS21,1-p_die,RAND()),0)+(AR21-AR22)</f>
        <v>32</v>
      </c>
      <c r="AT22" s="27">
        <f ca="1" t="shared" si="3"/>
        <v>68</v>
      </c>
      <c r="AU22" s="25"/>
      <c r="BA22">
        <v>21</v>
      </c>
      <c r="BB22" s="28">
        <v>1</v>
      </c>
      <c r="BC22" s="28">
        <v>0</v>
      </c>
      <c r="BD22" s="29">
        <v>0.98</v>
      </c>
      <c r="BE22" s="30">
        <v>16200</v>
      </c>
    </row>
    <row r="23" spans="15:57">
      <c r="O23" s="25">
        <v>22</v>
      </c>
      <c r="P23" s="26">
        <f ca="1">(1-p_encounter*p_infected)^R23</f>
        <v>0.737998345826651</v>
      </c>
      <c r="Q23" s="27">
        <f ca="1" t="shared" si="0"/>
        <v>0</v>
      </c>
      <c r="R23" s="27">
        <f ca="1">IF(R22&gt;0,_xlfn.BINOM.INV(R22,1-p_die,RAND()),0)+(Q22-Q23)</f>
        <v>12</v>
      </c>
      <c r="S23" s="27">
        <f ca="1" t="shared" si="1"/>
        <v>88</v>
      </c>
      <c r="Z23" s="20">
        <v>22</v>
      </c>
      <c r="AA23" s="28">
        <v>1</v>
      </c>
      <c r="AB23" s="28">
        <v>1</v>
      </c>
      <c r="AC23" s="29">
        <v>1</v>
      </c>
      <c r="AD23" s="30">
        <v>12800</v>
      </c>
      <c r="AP23">
        <v>22</v>
      </c>
      <c r="AQ23" s="26">
        <f ca="1">(1-p_encounter_protection*p_infected_protection)^AS23</f>
        <v>0.864707730567534</v>
      </c>
      <c r="AR23" s="27">
        <f ca="1" t="shared" si="2"/>
        <v>0</v>
      </c>
      <c r="AS23" s="27">
        <f ca="1">IF(AS22&gt;0,_xlfn.BINOM.INV(AS22,1-p_die,RAND()),0)+(AR22-AR23)</f>
        <v>29</v>
      </c>
      <c r="AT23" s="27">
        <f ca="1" t="shared" si="3"/>
        <v>71</v>
      </c>
      <c r="AU23" s="25"/>
      <c r="BA23">
        <v>22</v>
      </c>
      <c r="BB23" s="28">
        <v>1</v>
      </c>
      <c r="BC23" s="28">
        <v>1</v>
      </c>
      <c r="BD23" s="29">
        <v>1</v>
      </c>
      <c r="BE23" s="30">
        <v>17030</v>
      </c>
    </row>
    <row r="24" spans="1:57">
      <c r="A24" s="15" t="s">
        <v>105</v>
      </c>
      <c r="B24" s="15"/>
      <c r="C24" s="15"/>
      <c r="D24" s="15"/>
      <c r="E24" s="15"/>
      <c r="F24" s="15"/>
      <c r="G24" s="15"/>
      <c r="H24" s="15"/>
      <c r="O24" s="25">
        <v>23</v>
      </c>
      <c r="P24" s="26">
        <f ca="1">(1-p_encounter*p_infected)^R24</f>
        <v>0.737998345826651</v>
      </c>
      <c r="Q24" s="27">
        <f ca="1" t="shared" si="0"/>
        <v>0</v>
      </c>
      <c r="R24" s="27">
        <f ca="1">IF(R23&gt;0,_xlfn.BINOM.INV(R23,1-p_die,RAND()),0)+(Q23-Q24)</f>
        <v>12</v>
      </c>
      <c r="S24" s="27">
        <f ca="1" t="shared" si="1"/>
        <v>88</v>
      </c>
      <c r="Z24" s="20">
        <v>23</v>
      </c>
      <c r="AA24" s="28">
        <v>1</v>
      </c>
      <c r="AB24" s="28">
        <v>1</v>
      </c>
      <c r="AC24" s="29">
        <v>1</v>
      </c>
      <c r="AD24" s="30">
        <v>12460</v>
      </c>
      <c r="AP24">
        <v>23</v>
      </c>
      <c r="AQ24" s="26">
        <f ca="1">(1-p_encounter_protection*p_infected_protection)^AS24</f>
        <v>0.886653510501308</v>
      </c>
      <c r="AR24" s="27">
        <f ca="1" t="shared" si="2"/>
        <v>0</v>
      </c>
      <c r="AS24" s="27">
        <f ca="1">IF(AS23&gt;0,_xlfn.BINOM.INV(AS23,1-p_die,RAND()),0)+(AR23-AR24)</f>
        <v>24</v>
      </c>
      <c r="AT24" s="27">
        <f ca="1" t="shared" si="3"/>
        <v>76</v>
      </c>
      <c r="AU24" s="25"/>
      <c r="BA24">
        <v>23</v>
      </c>
      <c r="BB24" s="28">
        <v>1</v>
      </c>
      <c r="BC24" s="28">
        <v>1</v>
      </c>
      <c r="BD24" s="29">
        <v>1</v>
      </c>
      <c r="BE24" s="30">
        <v>18320</v>
      </c>
    </row>
    <row r="25" spans="1:57">
      <c r="A25" s="16" t="s">
        <v>106</v>
      </c>
      <c r="B25" s="16"/>
      <c r="C25" s="16"/>
      <c r="D25" s="16"/>
      <c r="E25" s="16"/>
      <c r="F25" s="16"/>
      <c r="G25" s="16"/>
      <c r="H25" s="16"/>
      <c r="O25" s="25">
        <v>24</v>
      </c>
      <c r="P25" s="26">
        <f ca="1">(1-p_encounter*p_infected)^R25</f>
        <v>0.816651803662262</v>
      </c>
      <c r="Q25" s="27">
        <f ca="1" t="shared" si="0"/>
        <v>0</v>
      </c>
      <c r="R25" s="27">
        <f ca="1">IF(R24&gt;0,_xlfn.BINOM.INV(R24,1-p_die,RAND()),0)+(Q24-Q25)</f>
        <v>8</v>
      </c>
      <c r="S25" s="27">
        <f ca="1" t="shared" si="1"/>
        <v>92</v>
      </c>
      <c r="Z25" s="20">
        <v>24</v>
      </c>
      <c r="AA25" s="28">
        <v>1</v>
      </c>
      <c r="AB25" s="28">
        <v>1</v>
      </c>
      <c r="AC25" s="29">
        <v>1</v>
      </c>
      <c r="AD25" s="30">
        <v>11920</v>
      </c>
      <c r="AP25">
        <v>24</v>
      </c>
      <c r="AQ25" s="26">
        <f ca="1">(1-p_encounter_protection*p_infected_protection)^AS25</f>
        <v>0.891109055780209</v>
      </c>
      <c r="AR25" s="27">
        <f ca="1" t="shared" si="2"/>
        <v>0</v>
      </c>
      <c r="AS25" s="27">
        <f ca="1">IF(AS24&gt;0,_xlfn.BINOM.INV(AS24,1-p_die,RAND()),0)+(AR24-AR25)</f>
        <v>23</v>
      </c>
      <c r="AT25" s="27">
        <f ca="1" t="shared" si="3"/>
        <v>77</v>
      </c>
      <c r="AU25" s="25"/>
      <c r="BA25">
        <v>24</v>
      </c>
      <c r="BB25" s="28">
        <v>1</v>
      </c>
      <c r="BC25" s="28">
        <v>1</v>
      </c>
      <c r="BD25" s="29">
        <v>1</v>
      </c>
      <c r="BE25" s="30">
        <v>14360</v>
      </c>
    </row>
    <row r="26" spans="1:57">
      <c r="A26" s="16"/>
      <c r="B26" s="16"/>
      <c r="C26" s="16"/>
      <c r="D26" s="16"/>
      <c r="E26" s="16"/>
      <c r="F26" s="16"/>
      <c r="G26" s="16"/>
      <c r="H26" s="16"/>
      <c r="O26" s="25">
        <v>25</v>
      </c>
      <c r="P26" s="26">
        <f ca="1">(1-p_encounter*p_infected)^R26</f>
        <v>0.837591593499756</v>
      </c>
      <c r="Q26" s="27">
        <f ca="1" t="shared" si="0"/>
        <v>0</v>
      </c>
      <c r="R26" s="27">
        <f ca="1">IF(R25&gt;0,_xlfn.BINOM.INV(R25,1-p_die,RAND()),0)+(Q25-Q26)</f>
        <v>7</v>
      </c>
      <c r="S26" s="27">
        <f ca="1" t="shared" si="1"/>
        <v>93</v>
      </c>
      <c r="Z26" s="20">
        <v>25</v>
      </c>
      <c r="AA26" s="28">
        <v>1</v>
      </c>
      <c r="AB26" s="28">
        <v>1</v>
      </c>
      <c r="AC26" s="29">
        <v>1</v>
      </c>
      <c r="AD26" s="30">
        <v>11740</v>
      </c>
      <c r="AP26">
        <v>25</v>
      </c>
      <c r="AQ26" s="26">
        <f ca="1">(1-p_encounter_protection*p_infected_protection)^AS26</f>
        <v>0.895586990733878</v>
      </c>
      <c r="AR26" s="27">
        <f ca="1" t="shared" si="2"/>
        <v>0</v>
      </c>
      <c r="AS26" s="27">
        <f ca="1">IF(AS25&gt;0,_xlfn.BINOM.INV(AS25,1-p_die,RAND()),0)+(AR25-AR26)</f>
        <v>22</v>
      </c>
      <c r="AT26" s="27">
        <f ca="1" t="shared" si="3"/>
        <v>78</v>
      </c>
      <c r="AU26" s="25"/>
      <c r="BA26">
        <v>25</v>
      </c>
      <c r="BB26" s="28">
        <v>1</v>
      </c>
      <c r="BC26" s="28">
        <v>0</v>
      </c>
      <c r="BD26" s="29">
        <v>0.99</v>
      </c>
      <c r="BE26" s="30">
        <v>15820</v>
      </c>
    </row>
    <row r="27" spans="1:57">
      <c r="A27" s="16"/>
      <c r="B27" s="16"/>
      <c r="C27" s="16"/>
      <c r="D27" s="16"/>
      <c r="E27" s="16"/>
      <c r="F27" s="16"/>
      <c r="G27" s="16"/>
      <c r="H27" s="16"/>
      <c r="O27" s="25">
        <v>26</v>
      </c>
      <c r="P27" s="26">
        <f ca="1">(1-p_encounter*p_infected)^R27</f>
        <v>0.837591593499756</v>
      </c>
      <c r="Q27" s="27">
        <f ca="1" t="shared" si="0"/>
        <v>0</v>
      </c>
      <c r="R27" s="27">
        <f ca="1">IF(R26&gt;0,_xlfn.BINOM.INV(R26,1-p_die,RAND()),0)+(Q26-Q27)</f>
        <v>7</v>
      </c>
      <c r="S27" s="27">
        <f ca="1" t="shared" si="1"/>
        <v>93</v>
      </c>
      <c r="Z27" s="20">
        <v>26</v>
      </c>
      <c r="AA27" s="28">
        <v>1</v>
      </c>
      <c r="AB27" s="28">
        <v>1</v>
      </c>
      <c r="AC27" s="29">
        <v>1</v>
      </c>
      <c r="AD27" s="30">
        <v>12070</v>
      </c>
      <c r="AP27">
        <v>26</v>
      </c>
      <c r="AQ27" s="26">
        <f ca="1">(1-p_encounter_protection*p_infected_protection)^AS27</f>
        <v>0.904610480274618</v>
      </c>
      <c r="AR27" s="27">
        <f ca="1" t="shared" si="2"/>
        <v>0</v>
      </c>
      <c r="AS27" s="27">
        <f ca="1">IF(AS26&gt;0,_xlfn.BINOM.INV(AS26,1-p_die,RAND()),0)+(AR26-AR27)</f>
        <v>20</v>
      </c>
      <c r="AT27" s="27">
        <f ca="1" t="shared" si="3"/>
        <v>80</v>
      </c>
      <c r="AU27" s="25"/>
      <c r="BA27">
        <v>26</v>
      </c>
      <c r="BB27" s="28">
        <v>1</v>
      </c>
      <c r="BC27" s="28">
        <v>1</v>
      </c>
      <c r="BD27" s="29">
        <v>1</v>
      </c>
      <c r="BE27" s="30">
        <v>16700</v>
      </c>
    </row>
    <row r="28" spans="1:57">
      <c r="A28" s="16"/>
      <c r="B28" s="16"/>
      <c r="C28" s="16"/>
      <c r="D28" s="16"/>
      <c r="E28" s="16"/>
      <c r="F28" s="16"/>
      <c r="G28" s="16"/>
      <c r="H28" s="16"/>
      <c r="O28" s="25">
        <v>27</v>
      </c>
      <c r="P28" s="26">
        <f ca="1">(1-p_encounter*p_infected)^R28</f>
        <v>0.837591593499756</v>
      </c>
      <c r="Q28" s="27">
        <f ca="1" t="shared" si="0"/>
        <v>0</v>
      </c>
      <c r="R28" s="27">
        <f ca="1">IF(R27&gt;0,_xlfn.BINOM.INV(R27,1-p_die,RAND()),0)+(Q27-Q28)</f>
        <v>7</v>
      </c>
      <c r="S28" s="27">
        <f ca="1" t="shared" si="1"/>
        <v>93</v>
      </c>
      <c r="Z28" s="20">
        <v>27</v>
      </c>
      <c r="AA28" s="28">
        <v>1</v>
      </c>
      <c r="AB28" s="28">
        <v>1</v>
      </c>
      <c r="AC28" s="29">
        <v>1</v>
      </c>
      <c r="AD28" s="30">
        <v>13370</v>
      </c>
      <c r="AP28">
        <v>27</v>
      </c>
      <c r="AQ28" s="26">
        <f ca="1">(1-p_encounter_protection*p_infected_protection)^AS28</f>
        <v>0.904610480274618</v>
      </c>
      <c r="AR28" s="27">
        <f ca="1" t="shared" si="2"/>
        <v>0</v>
      </c>
      <c r="AS28" s="27">
        <f ca="1">IF(AS27&gt;0,_xlfn.BINOM.INV(AS27,1-p_die,RAND()),0)+(AR27-AR28)</f>
        <v>20</v>
      </c>
      <c r="AT28" s="27">
        <f ca="1" t="shared" si="3"/>
        <v>80</v>
      </c>
      <c r="AU28" s="25"/>
      <c r="BA28">
        <v>27</v>
      </c>
      <c r="BB28" s="28">
        <v>1</v>
      </c>
      <c r="BC28" s="28">
        <v>1</v>
      </c>
      <c r="BD28" s="29">
        <v>1</v>
      </c>
      <c r="BE28" s="30">
        <v>16150</v>
      </c>
    </row>
    <row r="29" spans="1:57">
      <c r="A29" s="16"/>
      <c r="B29" s="16"/>
      <c r="C29" s="16"/>
      <c r="D29" s="16"/>
      <c r="E29" s="16"/>
      <c r="F29" s="16"/>
      <c r="G29" s="16"/>
      <c r="H29" s="16"/>
      <c r="O29" s="25">
        <v>28</v>
      </c>
      <c r="P29" s="26">
        <f ca="1">(1-p_encounter*p_infected)^R29</f>
        <v>0.881095693359375</v>
      </c>
      <c r="Q29" s="27">
        <f ca="1" t="shared" si="0"/>
        <v>0</v>
      </c>
      <c r="R29" s="27">
        <f ca="1">IF(R28&gt;0,_xlfn.BINOM.INV(R28,1-p_die,RAND()),0)+(Q28-Q29)</f>
        <v>5</v>
      </c>
      <c r="S29" s="27">
        <f ca="1" t="shared" si="1"/>
        <v>95</v>
      </c>
      <c r="Z29" s="20">
        <v>28</v>
      </c>
      <c r="AA29" s="28">
        <v>1</v>
      </c>
      <c r="AB29" s="28">
        <v>1</v>
      </c>
      <c r="AC29" s="29">
        <v>1</v>
      </c>
      <c r="AD29" s="30">
        <v>13730</v>
      </c>
      <c r="AP29">
        <v>28</v>
      </c>
      <c r="AQ29" s="26">
        <f ca="1">(1-p_encounter_protection*p_infected_protection)^AS29</f>
        <v>0.918316468354365</v>
      </c>
      <c r="AR29" s="27">
        <f ca="1" t="shared" si="2"/>
        <v>0</v>
      </c>
      <c r="AS29" s="27">
        <f ca="1">IF(AS28&gt;0,_xlfn.BINOM.INV(AS28,1-p_die,RAND()),0)+(AR28-AR29)</f>
        <v>17</v>
      </c>
      <c r="AT29" s="27">
        <f ca="1" t="shared" si="3"/>
        <v>83</v>
      </c>
      <c r="AU29" s="25"/>
      <c r="BA29">
        <v>28</v>
      </c>
      <c r="BB29" s="28">
        <v>1</v>
      </c>
      <c r="BC29" s="28">
        <v>0</v>
      </c>
      <c r="BD29" s="29">
        <v>0.98</v>
      </c>
      <c r="BE29" s="30">
        <v>16690</v>
      </c>
    </row>
    <row r="30" spans="15:57">
      <c r="O30" s="25">
        <v>29</v>
      </c>
      <c r="P30" s="26">
        <f ca="1">(1-p_encounter*p_infected)^R30</f>
        <v>0.881095693359375</v>
      </c>
      <c r="Q30" s="27">
        <f ca="1" t="shared" si="0"/>
        <v>0</v>
      </c>
      <c r="R30" s="27">
        <f ca="1">IF(R29&gt;0,_xlfn.BINOM.INV(R29,1-p_die,RAND()),0)+(Q29-Q30)</f>
        <v>5</v>
      </c>
      <c r="S30" s="27">
        <f ca="1" t="shared" si="1"/>
        <v>95</v>
      </c>
      <c r="Z30" s="20">
        <v>29</v>
      </c>
      <c r="AA30" s="28">
        <v>1</v>
      </c>
      <c r="AB30" s="28">
        <v>1</v>
      </c>
      <c r="AC30" s="29">
        <v>1</v>
      </c>
      <c r="AD30" s="30">
        <v>12470</v>
      </c>
      <c r="AP30">
        <v>29</v>
      </c>
      <c r="AQ30" s="26">
        <f ca="1">(1-p_encounter_protection*p_infected_protection)^AS30</f>
        <v>0.927568968818328</v>
      </c>
      <c r="AR30" s="27">
        <f ca="1" t="shared" si="2"/>
        <v>0</v>
      </c>
      <c r="AS30" s="27">
        <f ca="1">IF(AS29&gt;0,_xlfn.BINOM.INV(AS29,1-p_die,RAND()),0)+(AR29-AR30)</f>
        <v>15</v>
      </c>
      <c r="AT30" s="27">
        <f ca="1" t="shared" si="3"/>
        <v>85</v>
      </c>
      <c r="AU30" s="25"/>
      <c r="BA30">
        <v>29</v>
      </c>
      <c r="BB30" s="28">
        <v>1</v>
      </c>
      <c r="BC30" s="28">
        <v>1</v>
      </c>
      <c r="BD30" s="29">
        <v>1</v>
      </c>
      <c r="BE30" s="30">
        <v>16420</v>
      </c>
    </row>
    <row r="31" spans="1:57">
      <c r="A31" s="15" t="s">
        <v>107</v>
      </c>
      <c r="B31" s="15"/>
      <c r="C31" s="15"/>
      <c r="D31" s="15"/>
      <c r="E31" s="15"/>
      <c r="F31" s="15"/>
      <c r="G31" s="15"/>
      <c r="H31" s="15"/>
      <c r="O31" s="25">
        <v>30</v>
      </c>
      <c r="P31" s="26">
        <f ca="1">(1-p_encounter*p_infected)^R31</f>
        <v>0.903687890625</v>
      </c>
      <c r="Q31" s="27">
        <f ca="1" t="shared" si="0"/>
        <v>0</v>
      </c>
      <c r="R31" s="27">
        <f ca="1">IF(R30&gt;0,_xlfn.BINOM.INV(R30,1-p_die,RAND()),0)+(Q30-Q31)</f>
        <v>4</v>
      </c>
      <c r="S31" s="27">
        <f ca="1" t="shared" si="1"/>
        <v>96</v>
      </c>
      <c r="Z31" s="20">
        <v>30</v>
      </c>
      <c r="AA31" s="28">
        <v>1</v>
      </c>
      <c r="AB31" s="28">
        <v>1</v>
      </c>
      <c r="AC31" s="29">
        <v>1</v>
      </c>
      <c r="AD31" s="30">
        <v>11570</v>
      </c>
      <c r="AP31">
        <v>30</v>
      </c>
      <c r="AQ31" s="26">
        <f ca="1">(1-p_encounter_protection*p_infected_protection)^AS31</f>
        <v>0.936914692879804</v>
      </c>
      <c r="AR31" s="27">
        <f ca="1" t="shared" si="2"/>
        <v>0</v>
      </c>
      <c r="AS31" s="27">
        <f ca="1">IF(AS30&gt;0,_xlfn.BINOM.INV(AS30,1-p_die,RAND()),0)+(AR30-AR31)</f>
        <v>13</v>
      </c>
      <c r="AT31" s="27">
        <f ca="1" t="shared" si="3"/>
        <v>87</v>
      </c>
      <c r="AU31" s="25"/>
      <c r="BA31">
        <v>30</v>
      </c>
      <c r="BB31" s="28">
        <v>1</v>
      </c>
      <c r="BC31" s="28">
        <v>0</v>
      </c>
      <c r="BD31" s="29">
        <v>0.99</v>
      </c>
      <c r="BE31" s="30">
        <v>17960</v>
      </c>
    </row>
    <row r="32" spans="1:57">
      <c r="A32" s="16" t="s">
        <v>108</v>
      </c>
      <c r="B32" s="16"/>
      <c r="C32" s="16"/>
      <c r="D32" s="16"/>
      <c r="E32" s="16"/>
      <c r="F32" s="16"/>
      <c r="G32" s="16"/>
      <c r="H32" s="16"/>
      <c r="O32" s="25">
        <v>31</v>
      </c>
      <c r="P32" s="26">
        <f ca="1">(1-p_encounter*p_infected)^R32</f>
        <v>0.926859375</v>
      </c>
      <c r="Q32" s="27">
        <f ca="1" t="shared" si="0"/>
        <v>0</v>
      </c>
      <c r="R32" s="27">
        <f ca="1">IF(R31&gt;0,_xlfn.BINOM.INV(R31,1-p_die,RAND()),0)+(Q31-Q32)</f>
        <v>3</v>
      </c>
      <c r="S32" s="27">
        <f ca="1" t="shared" si="1"/>
        <v>97</v>
      </c>
      <c r="Z32" s="20">
        <v>31</v>
      </c>
      <c r="AA32" s="28">
        <v>1</v>
      </c>
      <c r="AB32" s="28">
        <v>1</v>
      </c>
      <c r="AC32" s="29">
        <v>1</v>
      </c>
      <c r="AD32" s="30">
        <v>13320</v>
      </c>
      <c r="AP32">
        <v>31</v>
      </c>
      <c r="AQ32" s="26">
        <f ca="1">(1-p_encounter_protection*p_infected_protection)^AS32</f>
        <v>0.946354579813443</v>
      </c>
      <c r="AR32" s="27">
        <f ca="1" t="shared" si="2"/>
        <v>0</v>
      </c>
      <c r="AS32" s="27">
        <f ca="1">IF(AS31&gt;0,_xlfn.BINOM.INV(AS31,1-p_die,RAND()),0)+(AR31-AR32)</f>
        <v>11</v>
      </c>
      <c r="AT32" s="27">
        <f ca="1" t="shared" si="3"/>
        <v>89</v>
      </c>
      <c r="AU32" s="25"/>
      <c r="BA32">
        <v>31</v>
      </c>
      <c r="BB32" s="28">
        <v>1</v>
      </c>
      <c r="BC32" s="28">
        <v>1</v>
      </c>
      <c r="BD32" s="29">
        <v>1</v>
      </c>
      <c r="BE32" s="30">
        <v>18290</v>
      </c>
    </row>
    <row r="33" spans="1:57">
      <c r="A33" s="16"/>
      <c r="B33" s="16"/>
      <c r="C33" s="16"/>
      <c r="D33" s="16"/>
      <c r="E33" s="16"/>
      <c r="F33" s="16"/>
      <c r="G33" s="16"/>
      <c r="H33" s="16"/>
      <c r="O33" s="25">
        <v>32</v>
      </c>
      <c r="P33" s="26">
        <f ca="1">(1-p_encounter*p_infected)^R33</f>
        <v>0.926859375</v>
      </c>
      <c r="Q33" s="27">
        <f ca="1" t="shared" si="0"/>
        <v>0</v>
      </c>
      <c r="R33" s="27">
        <f ca="1">IF(R32&gt;0,_xlfn.BINOM.INV(R32,1-p_die,RAND()),0)+(Q32-Q33)</f>
        <v>3</v>
      </c>
      <c r="S33" s="27">
        <f ca="1" t="shared" si="1"/>
        <v>97</v>
      </c>
      <c r="Z33" s="20">
        <v>32</v>
      </c>
      <c r="AA33" s="28">
        <v>1</v>
      </c>
      <c r="AB33" s="28">
        <v>1</v>
      </c>
      <c r="AC33" s="29">
        <v>1</v>
      </c>
      <c r="AD33" s="30">
        <v>11230</v>
      </c>
      <c r="AP33">
        <v>32</v>
      </c>
      <c r="AQ33" s="26">
        <f ca="1">(1-p_encounter_protection*p_infected_protection)^AS33</f>
        <v>0.951110130465772</v>
      </c>
      <c r="AR33" s="27">
        <f ca="1" t="shared" si="2"/>
        <v>0</v>
      </c>
      <c r="AS33" s="27">
        <f ca="1">IF(AS32&gt;0,_xlfn.BINOM.INV(AS32,1-p_die,RAND()),0)+(AR32-AR33)</f>
        <v>10</v>
      </c>
      <c r="AT33" s="27">
        <f ca="1" t="shared" si="3"/>
        <v>90</v>
      </c>
      <c r="AU33" s="25"/>
      <c r="BA33">
        <v>32</v>
      </c>
      <c r="BB33" s="28">
        <v>1</v>
      </c>
      <c r="BC33" s="28">
        <v>1</v>
      </c>
      <c r="BD33" s="29">
        <v>1</v>
      </c>
      <c r="BE33" s="30">
        <v>16150</v>
      </c>
    </row>
    <row r="34" spans="1:57">
      <c r="A34" s="16"/>
      <c r="B34" s="16"/>
      <c r="C34" s="16"/>
      <c r="D34" s="16"/>
      <c r="E34" s="16"/>
      <c r="F34" s="16"/>
      <c r="G34" s="16"/>
      <c r="H34" s="16"/>
      <c r="O34" s="25">
        <v>33</v>
      </c>
      <c r="P34" s="26">
        <f ca="1">(1-p_encounter*p_infected)^R34</f>
        <v>0.926859375</v>
      </c>
      <c r="Q34" s="27">
        <f ca="1" t="shared" si="0"/>
        <v>0</v>
      </c>
      <c r="R34" s="27">
        <f ca="1">IF(R33&gt;0,_xlfn.BINOM.INV(R33,1-p_die,RAND()),0)+(Q33-Q34)</f>
        <v>3</v>
      </c>
      <c r="S34" s="27">
        <f ca="1" t="shared" si="1"/>
        <v>97</v>
      </c>
      <c r="Z34" s="20">
        <v>33</v>
      </c>
      <c r="AA34" s="28">
        <v>1</v>
      </c>
      <c r="AB34" s="28">
        <v>1</v>
      </c>
      <c r="AC34" s="29">
        <v>1</v>
      </c>
      <c r="AD34" s="30">
        <v>13080</v>
      </c>
      <c r="AP34">
        <v>33</v>
      </c>
      <c r="AQ34" s="26">
        <f ca="1">(1-p_encounter_protection*p_infected_protection)^AS34</f>
        <v>0.951110130465772</v>
      </c>
      <c r="AR34" s="27">
        <f ca="1" t="shared" si="2"/>
        <v>0</v>
      </c>
      <c r="AS34" s="27">
        <f ca="1">IF(AS33&gt;0,_xlfn.BINOM.INV(AS33,1-p_die,RAND()),0)+(AR33-AR34)</f>
        <v>10</v>
      </c>
      <c r="AT34" s="27">
        <f ca="1" t="shared" si="3"/>
        <v>90</v>
      </c>
      <c r="AU34" s="25"/>
      <c r="BA34">
        <v>33</v>
      </c>
      <c r="BB34" s="28">
        <v>1</v>
      </c>
      <c r="BC34" s="28">
        <v>1</v>
      </c>
      <c r="BD34" s="29">
        <v>1</v>
      </c>
      <c r="BE34" s="30">
        <v>15260</v>
      </c>
    </row>
    <row r="35" spans="1:57">
      <c r="A35" s="16"/>
      <c r="B35" s="16"/>
      <c r="C35" s="16"/>
      <c r="D35" s="16"/>
      <c r="E35" s="16"/>
      <c r="F35" s="16"/>
      <c r="G35" s="16"/>
      <c r="H35" s="16"/>
      <c r="O35" s="25">
        <v>34</v>
      </c>
      <c r="P35" s="26">
        <f ca="1">(1-p_encounter*p_infected)^R35</f>
        <v>0.926859375</v>
      </c>
      <c r="Q35" s="27">
        <f ca="1" t="shared" si="0"/>
        <v>0</v>
      </c>
      <c r="R35" s="27">
        <f ca="1">IF(R34&gt;0,_xlfn.BINOM.INV(R34,1-p_die,RAND()),0)+(Q34-Q35)</f>
        <v>3</v>
      </c>
      <c r="S35" s="27">
        <f ca="1" t="shared" si="1"/>
        <v>97</v>
      </c>
      <c r="Z35" s="20">
        <v>34</v>
      </c>
      <c r="AA35" s="28">
        <v>1</v>
      </c>
      <c r="AB35" s="28">
        <v>1</v>
      </c>
      <c r="AC35" s="29">
        <v>1</v>
      </c>
      <c r="AD35" s="30">
        <v>14110</v>
      </c>
      <c r="AP35">
        <v>34</v>
      </c>
      <c r="AQ35" s="26">
        <f ca="1">(1-p_encounter_protection*p_infected_protection)^AS35</f>
        <v>0.960693043575437</v>
      </c>
      <c r="AR35" s="27">
        <f ca="1" t="shared" si="2"/>
        <v>0</v>
      </c>
      <c r="AS35" s="27">
        <f ca="1">IF(AS34&gt;0,_xlfn.BINOM.INV(AS34,1-p_die,RAND()),0)+(AR34-AR35)</f>
        <v>8</v>
      </c>
      <c r="AT35" s="27">
        <f ca="1" t="shared" si="3"/>
        <v>92</v>
      </c>
      <c r="AU35" s="25"/>
      <c r="BA35">
        <v>34</v>
      </c>
      <c r="BB35" s="28">
        <v>1</v>
      </c>
      <c r="BC35" s="28">
        <v>1</v>
      </c>
      <c r="BD35" s="29">
        <v>1</v>
      </c>
      <c r="BE35" s="30">
        <v>16290</v>
      </c>
    </row>
    <row r="36" spans="1:57">
      <c r="A36" s="16"/>
      <c r="B36" s="16"/>
      <c r="C36" s="16"/>
      <c r="D36" s="16"/>
      <c r="E36" s="16"/>
      <c r="F36" s="16"/>
      <c r="G36" s="16"/>
      <c r="H36" s="16"/>
      <c r="O36" s="25">
        <v>35</v>
      </c>
      <c r="P36" s="26">
        <f ca="1">(1-p_encounter*p_infected)^R36</f>
        <v>0.926859375</v>
      </c>
      <c r="Q36" s="27">
        <f ca="1" t="shared" si="0"/>
        <v>0</v>
      </c>
      <c r="R36" s="27">
        <f ca="1">IF(R35&gt;0,_xlfn.BINOM.INV(R35,1-p_die,RAND()),0)+(Q35-Q36)</f>
        <v>3</v>
      </c>
      <c r="S36" s="27">
        <f ca="1" t="shared" si="1"/>
        <v>97</v>
      </c>
      <c r="Z36" s="20">
        <v>35</v>
      </c>
      <c r="AA36" s="28">
        <v>1</v>
      </c>
      <c r="AB36" s="28">
        <v>1</v>
      </c>
      <c r="AC36" s="29">
        <v>1</v>
      </c>
      <c r="AD36" s="30">
        <v>11340</v>
      </c>
      <c r="AP36">
        <v>35</v>
      </c>
      <c r="AQ36" s="26">
        <f ca="1">(1-p_encounter_protection*p_infected_protection)^AS36</f>
        <v>0.960693043575437</v>
      </c>
      <c r="AR36" s="27">
        <f ca="1" t="shared" si="2"/>
        <v>0</v>
      </c>
      <c r="AS36" s="27">
        <f ca="1">IF(AS35&gt;0,_xlfn.BINOM.INV(AS35,1-p_die,RAND()),0)+(AR35-AR36)</f>
        <v>8</v>
      </c>
      <c r="AT36" s="27">
        <f ca="1" t="shared" si="3"/>
        <v>92</v>
      </c>
      <c r="AU36" s="25"/>
      <c r="BA36">
        <v>35</v>
      </c>
      <c r="BB36" s="28">
        <v>1</v>
      </c>
      <c r="BC36" s="28">
        <v>0</v>
      </c>
      <c r="BD36" s="29">
        <v>0.99</v>
      </c>
      <c r="BE36" s="30">
        <v>19070</v>
      </c>
    </row>
    <row r="37" spans="15:57">
      <c r="O37" s="25">
        <v>36</v>
      </c>
      <c r="P37" s="26">
        <f ca="1">(1-p_encounter*p_infected)^R37</f>
        <v>0.926859375</v>
      </c>
      <c r="Q37" s="27">
        <f ca="1" t="shared" si="0"/>
        <v>0</v>
      </c>
      <c r="R37" s="27">
        <f ca="1">IF(R36&gt;0,_xlfn.BINOM.INV(R36,1-p_die,RAND()),0)+(Q36-Q37)</f>
        <v>3</v>
      </c>
      <c r="S37" s="27">
        <f ca="1" t="shared" si="1"/>
        <v>97</v>
      </c>
      <c r="Z37" s="20">
        <v>36</v>
      </c>
      <c r="AA37" s="28">
        <v>1</v>
      </c>
      <c r="AB37" s="28">
        <v>1</v>
      </c>
      <c r="AC37" s="29">
        <v>1</v>
      </c>
      <c r="AD37" s="30">
        <v>13130</v>
      </c>
      <c r="AP37">
        <v>36</v>
      </c>
      <c r="AQ37" s="26">
        <f ca="1">(1-p_encounter_protection*p_infected_protection)^AS37</f>
        <v>0.970372509356266</v>
      </c>
      <c r="AR37" s="27">
        <f ca="1" t="shared" si="2"/>
        <v>0</v>
      </c>
      <c r="AS37" s="27">
        <f ca="1">IF(AS36&gt;0,_xlfn.BINOM.INV(AS36,1-p_die,RAND()),0)+(AR36-AR37)</f>
        <v>6</v>
      </c>
      <c r="AT37" s="27">
        <f ca="1" t="shared" si="3"/>
        <v>94</v>
      </c>
      <c r="AU37" s="25"/>
      <c r="BA37">
        <v>36</v>
      </c>
      <c r="BB37" s="28">
        <v>1</v>
      </c>
      <c r="BC37" s="28">
        <v>1</v>
      </c>
      <c r="BD37" s="29">
        <v>1</v>
      </c>
      <c r="BE37" s="30">
        <v>16020</v>
      </c>
    </row>
    <row r="38" spans="1:57">
      <c r="A38" s="15" t="s">
        <v>109</v>
      </c>
      <c r="B38" s="15"/>
      <c r="C38" s="15"/>
      <c r="D38" s="15"/>
      <c r="E38" s="15"/>
      <c r="F38" s="15"/>
      <c r="G38" s="15"/>
      <c r="H38" s="15"/>
      <c r="O38" s="25">
        <v>37</v>
      </c>
      <c r="P38" s="26">
        <f ca="1">(1-p_encounter*p_infected)^R38</f>
        <v>0.926859375</v>
      </c>
      <c r="Q38" s="27">
        <f ca="1" t="shared" si="0"/>
        <v>0</v>
      </c>
      <c r="R38" s="27">
        <f ca="1">IF(R37&gt;0,_xlfn.BINOM.INV(R37,1-p_die,RAND()),0)+(Q37-Q38)</f>
        <v>3</v>
      </c>
      <c r="S38" s="27">
        <f ca="1" t="shared" si="1"/>
        <v>97</v>
      </c>
      <c r="Z38" s="20">
        <v>37</v>
      </c>
      <c r="AA38" s="28">
        <v>1</v>
      </c>
      <c r="AB38" s="28">
        <v>1</v>
      </c>
      <c r="AC38" s="29">
        <v>1</v>
      </c>
      <c r="AD38" s="30">
        <v>14510</v>
      </c>
      <c r="AP38">
        <v>37</v>
      </c>
      <c r="AQ38" s="26">
        <f ca="1">(1-p_encounter_protection*p_infected_protection)^AS38</f>
        <v>0.975248753121875</v>
      </c>
      <c r="AR38" s="27">
        <f ca="1" t="shared" si="2"/>
        <v>0</v>
      </c>
      <c r="AS38" s="27">
        <f ca="1">IF(AS37&gt;0,_xlfn.BINOM.INV(AS37,1-p_die,RAND()),0)+(AR37-AR38)</f>
        <v>5</v>
      </c>
      <c r="AT38" s="27">
        <f ca="1" t="shared" si="3"/>
        <v>95</v>
      </c>
      <c r="AU38" s="25"/>
      <c r="BA38">
        <v>37</v>
      </c>
      <c r="BB38" s="28">
        <v>1</v>
      </c>
      <c r="BC38" s="28">
        <v>1</v>
      </c>
      <c r="BD38" s="29">
        <v>1</v>
      </c>
      <c r="BE38" s="30">
        <v>19080</v>
      </c>
    </row>
    <row r="39" spans="1:57">
      <c r="A39" s="16" t="s">
        <v>110</v>
      </c>
      <c r="B39" s="16"/>
      <c r="C39" s="16"/>
      <c r="D39" s="16"/>
      <c r="E39" s="16"/>
      <c r="F39" s="16"/>
      <c r="G39" s="16"/>
      <c r="H39" s="16"/>
      <c r="O39" s="25">
        <v>38</v>
      </c>
      <c r="P39" s="26">
        <f ca="1">(1-p_encounter*p_infected)^R39</f>
        <v>0.926859375</v>
      </c>
      <c r="Q39" s="27">
        <f ca="1" t="shared" si="0"/>
        <v>0</v>
      </c>
      <c r="R39" s="27">
        <f ca="1">IF(R38&gt;0,_xlfn.BINOM.INV(R38,1-p_die,RAND()),0)+(Q38-Q39)</f>
        <v>3</v>
      </c>
      <c r="S39" s="27">
        <f ca="1" t="shared" si="1"/>
        <v>97</v>
      </c>
      <c r="Z39" s="20">
        <v>38</v>
      </c>
      <c r="AA39" s="28">
        <v>1</v>
      </c>
      <c r="AB39" s="28">
        <v>1</v>
      </c>
      <c r="AC39" s="29">
        <v>1</v>
      </c>
      <c r="AD39" s="30">
        <v>13650</v>
      </c>
      <c r="AP39">
        <v>38</v>
      </c>
      <c r="AQ39" s="26">
        <f ca="1">(1-p_encounter_protection*p_infected_protection)^AS39</f>
        <v>0.975248753121875</v>
      </c>
      <c r="AR39" s="27">
        <f ca="1" t="shared" si="2"/>
        <v>0</v>
      </c>
      <c r="AS39" s="27">
        <f ca="1">IF(AS38&gt;0,_xlfn.BINOM.INV(AS38,1-p_die,RAND()),0)+(AR38-AR39)</f>
        <v>5</v>
      </c>
      <c r="AT39" s="27">
        <f ca="1" t="shared" si="3"/>
        <v>95</v>
      </c>
      <c r="AU39" s="25"/>
      <c r="BA39">
        <v>38</v>
      </c>
      <c r="BB39" s="28">
        <v>1</v>
      </c>
      <c r="BC39" s="28">
        <v>1</v>
      </c>
      <c r="BD39" s="29">
        <v>1</v>
      </c>
      <c r="BE39" s="30">
        <v>15640</v>
      </c>
    </row>
    <row r="40" spans="1:57">
      <c r="A40" s="16"/>
      <c r="B40" s="16"/>
      <c r="C40" s="16"/>
      <c r="D40" s="16"/>
      <c r="E40" s="16"/>
      <c r="F40" s="16"/>
      <c r="G40" s="16"/>
      <c r="H40" s="16"/>
      <c r="O40" s="25">
        <v>39</v>
      </c>
      <c r="P40" s="26">
        <f ca="1">(1-p_encounter*p_infected)^R40</f>
        <v>0.926859375</v>
      </c>
      <c r="Q40" s="27">
        <f ca="1" t="shared" si="0"/>
        <v>0</v>
      </c>
      <c r="R40" s="27">
        <f ca="1">IF(R39&gt;0,_xlfn.BINOM.INV(R39,1-p_die,RAND()),0)+(Q39-Q40)</f>
        <v>3</v>
      </c>
      <c r="S40" s="27">
        <f ca="1" t="shared" si="1"/>
        <v>97</v>
      </c>
      <c r="Z40" s="20">
        <v>39</v>
      </c>
      <c r="AA40" s="28">
        <v>1</v>
      </c>
      <c r="AB40" s="28">
        <v>1</v>
      </c>
      <c r="AC40" s="29">
        <v>1</v>
      </c>
      <c r="AD40" s="30">
        <v>12200</v>
      </c>
      <c r="AP40">
        <v>39</v>
      </c>
      <c r="AQ40" s="26">
        <f ca="1">(1-p_encounter_protection*p_infected_protection)^AS40</f>
        <v>0.980149500625</v>
      </c>
      <c r="AR40" s="27">
        <f ca="1" t="shared" si="2"/>
        <v>0</v>
      </c>
      <c r="AS40" s="27">
        <f ca="1">IF(AS39&gt;0,_xlfn.BINOM.INV(AS39,1-p_die,RAND()),0)+(AR39-AR40)</f>
        <v>4</v>
      </c>
      <c r="AT40" s="27">
        <f ca="1" t="shared" si="3"/>
        <v>96</v>
      </c>
      <c r="AU40" s="25"/>
      <c r="BA40">
        <v>39</v>
      </c>
      <c r="BB40" s="28">
        <v>1</v>
      </c>
      <c r="BC40" s="28">
        <v>0</v>
      </c>
      <c r="BD40" s="29">
        <v>0.99</v>
      </c>
      <c r="BE40" s="30">
        <v>17670</v>
      </c>
    </row>
    <row r="41" spans="1:57">
      <c r="A41" s="16"/>
      <c r="B41" s="16"/>
      <c r="C41" s="16"/>
      <c r="D41" s="16"/>
      <c r="E41" s="16"/>
      <c r="F41" s="16"/>
      <c r="G41" s="16"/>
      <c r="H41" s="16"/>
      <c r="O41" s="25">
        <v>40</v>
      </c>
      <c r="P41" s="26">
        <f ca="1">(1-p_encounter*p_infected)^R41</f>
        <v>0.950625</v>
      </c>
      <c r="Q41" s="27">
        <f ca="1" t="shared" si="0"/>
        <v>0</v>
      </c>
      <c r="R41" s="27">
        <f ca="1">IF(R40&gt;0,_xlfn.BINOM.INV(R40,1-p_die,RAND()),0)+(Q40-Q41)</f>
        <v>2</v>
      </c>
      <c r="S41" s="27">
        <f ca="1" t="shared" si="1"/>
        <v>98</v>
      </c>
      <c r="Z41" s="20">
        <v>40</v>
      </c>
      <c r="AA41" s="28">
        <v>1</v>
      </c>
      <c r="AB41" s="28">
        <v>1</v>
      </c>
      <c r="AC41" s="29">
        <v>1</v>
      </c>
      <c r="AD41" s="30">
        <v>12480</v>
      </c>
      <c r="AP41">
        <v>40</v>
      </c>
      <c r="AQ41" s="26">
        <f ca="1">(1-p_encounter_protection*p_infected_protection)^AS41</f>
        <v>0.985074875</v>
      </c>
      <c r="AR41" s="27">
        <f ca="1" t="shared" si="2"/>
        <v>0</v>
      </c>
      <c r="AS41" s="27">
        <f ca="1">IF(AS40&gt;0,_xlfn.BINOM.INV(AS40,1-p_die,RAND()),0)+(AR40-AR41)</f>
        <v>3</v>
      </c>
      <c r="AT41" s="27">
        <f ca="1" t="shared" si="3"/>
        <v>97</v>
      </c>
      <c r="AU41" s="25"/>
      <c r="BA41">
        <v>40</v>
      </c>
      <c r="BB41" s="28">
        <v>1</v>
      </c>
      <c r="BC41" s="28">
        <v>0</v>
      </c>
      <c r="BD41" s="29">
        <v>0.96</v>
      </c>
      <c r="BE41" s="30">
        <v>17550</v>
      </c>
    </row>
    <row r="42" spans="1:57">
      <c r="A42" s="16"/>
      <c r="B42" s="16"/>
      <c r="C42" s="16"/>
      <c r="D42" s="16"/>
      <c r="E42" s="16"/>
      <c r="F42" s="16"/>
      <c r="G42" s="16"/>
      <c r="H42" s="16"/>
      <c r="O42" s="25">
        <v>41</v>
      </c>
      <c r="P42" s="26">
        <f ca="1">(1-p_encounter*p_infected)^R42</f>
        <v>0.975</v>
      </c>
      <c r="Q42" s="27">
        <f ca="1" t="shared" si="0"/>
        <v>0</v>
      </c>
      <c r="R42" s="27">
        <f ca="1">IF(R41&gt;0,_xlfn.BINOM.INV(R41,1-p_die,RAND()),0)+(Q41-Q42)</f>
        <v>1</v>
      </c>
      <c r="S42" s="27">
        <f ca="1" t="shared" si="1"/>
        <v>99</v>
      </c>
      <c r="Z42" s="20">
        <v>41</v>
      </c>
      <c r="AA42" s="28">
        <v>1</v>
      </c>
      <c r="AB42" s="28">
        <v>1</v>
      </c>
      <c r="AC42" s="29">
        <v>1</v>
      </c>
      <c r="AD42" s="30">
        <v>13870</v>
      </c>
      <c r="AP42">
        <v>41</v>
      </c>
      <c r="AQ42" s="26">
        <f ca="1">(1-p_encounter_protection*p_infected_protection)^AS42</f>
        <v>0.985074875</v>
      </c>
      <c r="AR42" s="27">
        <f ca="1" t="shared" si="2"/>
        <v>0</v>
      </c>
      <c r="AS42" s="27">
        <f ca="1">IF(AS41&gt;0,_xlfn.BINOM.INV(AS41,1-p_die,RAND()),0)+(AR41-AR42)</f>
        <v>3</v>
      </c>
      <c r="AT42" s="27">
        <f ca="1" t="shared" si="3"/>
        <v>97</v>
      </c>
      <c r="AU42" s="25"/>
      <c r="BA42">
        <v>41</v>
      </c>
      <c r="BB42" s="28">
        <v>1</v>
      </c>
      <c r="BC42" s="28">
        <v>0</v>
      </c>
      <c r="BD42" s="29">
        <v>0.99</v>
      </c>
      <c r="BE42" s="30">
        <v>17690</v>
      </c>
    </row>
    <row r="43" spans="1:57">
      <c r="A43" s="16"/>
      <c r="B43" s="16"/>
      <c r="C43" s="16"/>
      <c r="D43" s="16"/>
      <c r="E43" s="16"/>
      <c r="F43" s="16"/>
      <c r="G43" s="16"/>
      <c r="H43" s="16"/>
      <c r="O43" s="25">
        <v>42</v>
      </c>
      <c r="P43" s="26">
        <f ca="1">(1-p_encounter*p_infected)^R43</f>
        <v>0.975</v>
      </c>
      <c r="Q43" s="27">
        <f ca="1" t="shared" si="0"/>
        <v>0</v>
      </c>
      <c r="R43" s="27">
        <f ca="1">IF(R42&gt;0,_xlfn.BINOM.INV(R42,1-p_die,RAND()),0)+(Q42-Q43)</f>
        <v>1</v>
      </c>
      <c r="S43" s="27">
        <f ca="1" t="shared" si="1"/>
        <v>99</v>
      </c>
      <c r="Z43" s="20">
        <v>42</v>
      </c>
      <c r="AA43" s="28">
        <v>1</v>
      </c>
      <c r="AB43" s="28">
        <v>1</v>
      </c>
      <c r="AC43" s="29">
        <v>1</v>
      </c>
      <c r="AD43" s="30">
        <v>12810</v>
      </c>
      <c r="AP43">
        <v>42</v>
      </c>
      <c r="AQ43" s="26">
        <f ca="1">(1-p_encounter_protection*p_infected_protection)^AS43</f>
        <v>0.985074875</v>
      </c>
      <c r="AR43" s="27">
        <f ca="1" t="shared" si="2"/>
        <v>0</v>
      </c>
      <c r="AS43" s="27">
        <f ca="1">IF(AS42&gt;0,_xlfn.BINOM.INV(AS42,1-p_die,RAND()),0)+(AR42-AR43)</f>
        <v>3</v>
      </c>
      <c r="AT43" s="27">
        <f ca="1" t="shared" si="3"/>
        <v>97</v>
      </c>
      <c r="AU43" s="25"/>
      <c r="BA43">
        <v>42</v>
      </c>
      <c r="BB43" s="28">
        <v>1</v>
      </c>
      <c r="BC43" s="28">
        <v>1</v>
      </c>
      <c r="BD43" s="29">
        <v>1</v>
      </c>
      <c r="BE43" s="30">
        <v>14980</v>
      </c>
    </row>
    <row r="44" spans="15:57">
      <c r="O44" s="25">
        <v>43</v>
      </c>
      <c r="P44" s="26">
        <f ca="1">(1-p_encounter*p_infected)^R44</f>
        <v>0.975</v>
      </c>
      <c r="Q44" s="27">
        <f ca="1" t="shared" si="0"/>
        <v>0</v>
      </c>
      <c r="R44" s="27">
        <f ca="1">IF(R43&gt;0,_xlfn.BINOM.INV(R43,1-p_die,RAND()),0)+(Q43-Q44)</f>
        <v>1</v>
      </c>
      <c r="S44" s="27">
        <f ca="1" t="shared" si="1"/>
        <v>99</v>
      </c>
      <c r="Z44" s="20">
        <v>43</v>
      </c>
      <c r="AA44" s="28">
        <v>1</v>
      </c>
      <c r="AB44" s="28">
        <v>1</v>
      </c>
      <c r="AC44" s="29">
        <v>1</v>
      </c>
      <c r="AD44" s="30">
        <v>14230</v>
      </c>
      <c r="AP44">
        <v>43</v>
      </c>
      <c r="AQ44" s="26">
        <f ca="1">(1-p_encounter_protection*p_infected_protection)^AS44</f>
        <v>0.985074875</v>
      </c>
      <c r="AR44" s="27">
        <f ca="1" t="shared" si="2"/>
        <v>0</v>
      </c>
      <c r="AS44" s="27">
        <f ca="1">IF(AS43&gt;0,_xlfn.BINOM.INV(AS43,1-p_die,RAND()),0)+(AR43-AR44)</f>
        <v>3</v>
      </c>
      <c r="AT44" s="27">
        <f ca="1" t="shared" si="3"/>
        <v>97</v>
      </c>
      <c r="AU44" s="25"/>
      <c r="BA44">
        <v>43</v>
      </c>
      <c r="BB44" s="28">
        <v>1</v>
      </c>
      <c r="BC44" s="28">
        <v>1</v>
      </c>
      <c r="BD44" s="29">
        <v>1</v>
      </c>
      <c r="BE44" s="30">
        <v>15010</v>
      </c>
    </row>
    <row r="45" spans="1:57">
      <c r="A45" s="15" t="s">
        <v>111</v>
      </c>
      <c r="B45" s="15"/>
      <c r="C45" s="15"/>
      <c r="D45" s="15"/>
      <c r="E45" s="15"/>
      <c r="F45" s="15"/>
      <c r="G45" s="15"/>
      <c r="H45" s="15"/>
      <c r="O45" s="25">
        <v>44</v>
      </c>
      <c r="P45" s="26">
        <f ca="1">(1-p_encounter*p_infected)^R45</f>
        <v>0.975</v>
      </c>
      <c r="Q45" s="27">
        <f ca="1" t="shared" si="0"/>
        <v>0</v>
      </c>
      <c r="R45" s="27">
        <f ca="1">IF(R44&gt;0,_xlfn.BINOM.INV(R44,1-p_die,RAND()),0)+(Q44-Q45)</f>
        <v>1</v>
      </c>
      <c r="S45" s="27">
        <f ca="1" t="shared" si="1"/>
        <v>99</v>
      </c>
      <c r="Z45" s="20">
        <v>44</v>
      </c>
      <c r="AA45" s="28">
        <v>1</v>
      </c>
      <c r="AB45" s="28">
        <v>1</v>
      </c>
      <c r="AC45" s="29">
        <v>1</v>
      </c>
      <c r="AD45" s="30">
        <v>13500</v>
      </c>
      <c r="AP45">
        <v>44</v>
      </c>
      <c r="AQ45" s="26">
        <f ca="1">(1-p_encounter_protection*p_infected_protection)^AS45</f>
        <v>0.990025</v>
      </c>
      <c r="AR45" s="27">
        <f ca="1" t="shared" si="2"/>
        <v>0</v>
      </c>
      <c r="AS45" s="27">
        <f ca="1">IF(AS44&gt;0,_xlfn.BINOM.INV(AS44,1-p_die,RAND()),0)+(AR44-AR45)</f>
        <v>2</v>
      </c>
      <c r="AT45" s="27">
        <f ca="1" t="shared" si="3"/>
        <v>98</v>
      </c>
      <c r="AU45" s="25"/>
      <c r="BA45">
        <v>44</v>
      </c>
      <c r="BB45" s="28">
        <v>1</v>
      </c>
      <c r="BC45" s="28">
        <v>0</v>
      </c>
      <c r="BD45" s="29">
        <v>0.99</v>
      </c>
      <c r="BE45" s="30">
        <v>16380</v>
      </c>
    </row>
    <row r="46" spans="1:57">
      <c r="A46" s="16" t="s">
        <v>112</v>
      </c>
      <c r="B46" s="16"/>
      <c r="C46" s="16"/>
      <c r="D46" s="16"/>
      <c r="E46" s="16"/>
      <c r="F46" s="16"/>
      <c r="G46" s="16"/>
      <c r="H46" s="16"/>
      <c r="O46" s="25">
        <v>45</v>
      </c>
      <c r="P46" s="26">
        <f ca="1">(1-p_encounter*p_infected)^R46</f>
        <v>0.975</v>
      </c>
      <c r="Q46" s="27">
        <f ca="1" t="shared" si="0"/>
        <v>0</v>
      </c>
      <c r="R46" s="27">
        <f ca="1">IF(R45&gt;0,_xlfn.BINOM.INV(R45,1-p_die,RAND()),0)+(Q45-Q46)</f>
        <v>1</v>
      </c>
      <c r="S46" s="27">
        <f ca="1" t="shared" si="1"/>
        <v>99</v>
      </c>
      <c r="Z46" s="20">
        <v>45</v>
      </c>
      <c r="AA46" s="28">
        <v>1</v>
      </c>
      <c r="AB46" s="28">
        <v>1</v>
      </c>
      <c r="AC46" s="29">
        <v>1</v>
      </c>
      <c r="AD46" s="30">
        <v>13060</v>
      </c>
      <c r="AP46">
        <v>45</v>
      </c>
      <c r="AQ46" s="26">
        <f ca="1">(1-p_encounter_protection*p_infected_protection)^AS46</f>
        <v>0.995</v>
      </c>
      <c r="AR46" s="27">
        <f ca="1" t="shared" si="2"/>
        <v>0</v>
      </c>
      <c r="AS46" s="27">
        <f ca="1">IF(AS45&gt;0,_xlfn.BINOM.INV(AS45,1-p_die,RAND()),0)+(AR45-AR46)</f>
        <v>1</v>
      </c>
      <c r="AT46" s="27">
        <f ca="1" t="shared" si="3"/>
        <v>99</v>
      </c>
      <c r="AU46" s="25"/>
      <c r="BA46">
        <v>45</v>
      </c>
      <c r="BB46" s="28">
        <v>1</v>
      </c>
      <c r="BC46" s="28">
        <v>1</v>
      </c>
      <c r="BD46" s="29">
        <v>1</v>
      </c>
      <c r="BE46" s="30">
        <v>18100</v>
      </c>
    </row>
    <row r="47" spans="1:57">
      <c r="A47" s="16"/>
      <c r="B47" s="16"/>
      <c r="C47" s="16"/>
      <c r="D47" s="16"/>
      <c r="E47" s="16"/>
      <c r="F47" s="16"/>
      <c r="G47" s="16"/>
      <c r="H47" s="16"/>
      <c r="O47" s="25">
        <v>46</v>
      </c>
      <c r="P47" s="26">
        <f ca="1">(1-p_encounter*p_infected)^R47</f>
        <v>0.975</v>
      </c>
      <c r="Q47" s="27">
        <f ca="1" t="shared" si="0"/>
        <v>0</v>
      </c>
      <c r="R47" s="27">
        <f ca="1">IF(R46&gt;0,_xlfn.BINOM.INV(R46,1-p_die,RAND()),0)+(Q46-Q47)</f>
        <v>1</v>
      </c>
      <c r="S47" s="27">
        <f ca="1" t="shared" si="1"/>
        <v>99</v>
      </c>
      <c r="Z47" s="20">
        <v>46</v>
      </c>
      <c r="AA47" s="28">
        <v>1</v>
      </c>
      <c r="AB47" s="28">
        <v>1</v>
      </c>
      <c r="AC47" s="29">
        <v>1</v>
      </c>
      <c r="AD47" s="30">
        <v>12200</v>
      </c>
      <c r="AP47">
        <v>46</v>
      </c>
      <c r="AQ47" s="26">
        <f ca="1">(1-p_encounter_protection*p_infected_protection)^AS47</f>
        <v>0.995</v>
      </c>
      <c r="AR47" s="27">
        <f ca="1" t="shared" si="2"/>
        <v>0</v>
      </c>
      <c r="AS47" s="27">
        <f ca="1">IF(AS46&gt;0,_xlfn.BINOM.INV(AS46,1-p_die,RAND()),0)+(AR46-AR47)</f>
        <v>1</v>
      </c>
      <c r="AT47" s="27">
        <f ca="1" t="shared" si="3"/>
        <v>99</v>
      </c>
      <c r="AU47" s="25"/>
      <c r="BA47">
        <v>46</v>
      </c>
      <c r="BB47" s="28">
        <v>1</v>
      </c>
      <c r="BC47" s="28">
        <v>0</v>
      </c>
      <c r="BD47" s="29">
        <v>0.99</v>
      </c>
      <c r="BE47" s="30">
        <v>21570</v>
      </c>
    </row>
    <row r="48" spans="1:57">
      <c r="A48" s="16"/>
      <c r="B48" s="16"/>
      <c r="C48" s="16"/>
      <c r="D48" s="16"/>
      <c r="E48" s="16"/>
      <c r="F48" s="16"/>
      <c r="G48" s="16"/>
      <c r="H48" s="16"/>
      <c r="O48" s="25">
        <v>47</v>
      </c>
      <c r="P48" s="26">
        <f ca="1">(1-p_encounter*p_infected)^R48</f>
        <v>0.975</v>
      </c>
      <c r="Q48" s="27">
        <f ca="1" t="shared" si="0"/>
        <v>0</v>
      </c>
      <c r="R48" s="27">
        <f ca="1">IF(R47&gt;0,_xlfn.BINOM.INV(R47,1-p_die,RAND()),0)+(Q47-Q48)</f>
        <v>1</v>
      </c>
      <c r="S48" s="27">
        <f ca="1" t="shared" si="1"/>
        <v>99</v>
      </c>
      <c r="Z48" s="20">
        <v>47</v>
      </c>
      <c r="AA48" s="28">
        <v>1</v>
      </c>
      <c r="AB48" s="28">
        <v>1</v>
      </c>
      <c r="AC48" s="29">
        <v>1</v>
      </c>
      <c r="AD48" s="30">
        <v>13800</v>
      </c>
      <c r="AP48">
        <v>47</v>
      </c>
      <c r="AQ48" s="26">
        <f ca="1">(1-p_encounter_protection*p_infected_protection)^AS48</f>
        <v>1</v>
      </c>
      <c r="AR48" s="27">
        <f ca="1" t="shared" si="2"/>
        <v>0</v>
      </c>
      <c r="AS48" s="27">
        <f ca="1">IF(AS47&gt;0,_xlfn.BINOM.INV(AS47,1-p_die,RAND()),0)+(AR47-AR48)</f>
        <v>0</v>
      </c>
      <c r="AT48" s="27">
        <f ca="1" t="shared" si="3"/>
        <v>100</v>
      </c>
      <c r="AU48" s="25"/>
      <c r="BA48">
        <v>47</v>
      </c>
      <c r="BB48" s="28">
        <v>1</v>
      </c>
      <c r="BC48" s="28">
        <v>0</v>
      </c>
      <c r="BD48" s="29">
        <v>0.99</v>
      </c>
      <c r="BE48" s="30">
        <v>17730</v>
      </c>
    </row>
    <row r="49" spans="1:57">
      <c r="A49" s="16"/>
      <c r="B49" s="16"/>
      <c r="C49" s="16"/>
      <c r="D49" s="16"/>
      <c r="E49" s="16"/>
      <c r="F49" s="16"/>
      <c r="G49" s="16"/>
      <c r="H49" s="16"/>
      <c r="O49" s="25">
        <v>48</v>
      </c>
      <c r="P49" s="26">
        <f ca="1">(1-p_encounter*p_infected)^R49</f>
        <v>0.975</v>
      </c>
      <c r="Q49" s="27">
        <f ca="1" t="shared" si="0"/>
        <v>0</v>
      </c>
      <c r="R49" s="27">
        <f ca="1">IF(R48&gt;0,_xlfn.BINOM.INV(R48,1-p_die,RAND()),0)+(Q48-Q49)</f>
        <v>1</v>
      </c>
      <c r="S49" s="27">
        <f ca="1" t="shared" si="1"/>
        <v>99</v>
      </c>
      <c r="Z49" s="20">
        <v>48</v>
      </c>
      <c r="AA49" s="28">
        <v>1</v>
      </c>
      <c r="AB49" s="28">
        <v>1</v>
      </c>
      <c r="AC49" s="29">
        <v>1</v>
      </c>
      <c r="AD49" s="30">
        <v>12260</v>
      </c>
      <c r="AP49">
        <v>48</v>
      </c>
      <c r="AQ49" s="26">
        <f ca="1">(1-p_encounter_protection*p_infected_protection)^AS49</f>
        <v>1</v>
      </c>
      <c r="AR49" s="27">
        <f ca="1" t="shared" si="2"/>
        <v>0</v>
      </c>
      <c r="AS49" s="27">
        <f ca="1">IF(AS48&gt;0,_xlfn.BINOM.INV(AS48,1-p_die,RAND()),0)+(AR48-AR49)</f>
        <v>0</v>
      </c>
      <c r="AT49" s="27">
        <f ca="1" t="shared" si="3"/>
        <v>100</v>
      </c>
      <c r="AU49" s="25"/>
      <c r="BA49">
        <v>48</v>
      </c>
      <c r="BB49" s="28">
        <v>1</v>
      </c>
      <c r="BC49" s="28">
        <v>0</v>
      </c>
      <c r="BD49" s="29">
        <v>0.99</v>
      </c>
      <c r="BE49" s="30">
        <v>16090</v>
      </c>
    </row>
    <row r="50" spans="1:57">
      <c r="A50" s="16"/>
      <c r="B50" s="16"/>
      <c r="C50" s="16"/>
      <c r="D50" s="16"/>
      <c r="E50" s="16"/>
      <c r="F50" s="16"/>
      <c r="G50" s="16"/>
      <c r="H50" s="16"/>
      <c r="O50" s="25">
        <v>49</v>
      </c>
      <c r="P50" s="26">
        <f ca="1">(1-p_encounter*p_infected)^R50</f>
        <v>0.975</v>
      </c>
      <c r="Q50" s="27">
        <f ca="1" t="shared" si="0"/>
        <v>0</v>
      </c>
      <c r="R50" s="27">
        <f ca="1">IF(R49&gt;0,_xlfn.BINOM.INV(R49,1-p_die,RAND()),0)+(Q49-Q50)</f>
        <v>1</v>
      </c>
      <c r="S50" s="27">
        <f ca="1" t="shared" si="1"/>
        <v>99</v>
      </c>
      <c r="Z50" s="20">
        <v>49</v>
      </c>
      <c r="AA50" s="28">
        <v>1</v>
      </c>
      <c r="AB50" s="28">
        <v>1</v>
      </c>
      <c r="AC50" s="29">
        <v>1</v>
      </c>
      <c r="AD50" s="30">
        <v>12740</v>
      </c>
      <c r="AP50">
        <v>49</v>
      </c>
      <c r="AQ50" s="26">
        <f ca="1">(1-p_encounter_protection*p_infected_protection)^AS50</f>
        <v>1</v>
      </c>
      <c r="AR50" s="27">
        <f ca="1" t="shared" si="2"/>
        <v>0</v>
      </c>
      <c r="AS50" s="27">
        <f ca="1">IF(AS49&gt;0,_xlfn.BINOM.INV(AS49,1-p_die,RAND()),0)+(AR49-AR50)</f>
        <v>0</v>
      </c>
      <c r="AT50" s="27">
        <f ca="1" t="shared" si="3"/>
        <v>100</v>
      </c>
      <c r="AU50" s="25"/>
      <c r="BA50">
        <v>49</v>
      </c>
      <c r="BB50" s="28">
        <v>1</v>
      </c>
      <c r="BC50" s="28">
        <v>0</v>
      </c>
      <c r="BD50" s="29">
        <v>0.99</v>
      </c>
      <c r="BE50" s="30">
        <v>17360</v>
      </c>
    </row>
    <row r="51" spans="15:57">
      <c r="O51" s="25">
        <v>50</v>
      </c>
      <c r="P51" s="26">
        <f ca="1">(1-p_encounter*p_infected)^R51</f>
        <v>0.975</v>
      </c>
      <c r="Q51" s="27">
        <f ca="1" t="shared" si="0"/>
        <v>0</v>
      </c>
      <c r="R51" s="27">
        <f ca="1">IF(R50&gt;0,_xlfn.BINOM.INV(R50,1-p_die,RAND()),0)+(Q50-Q51)</f>
        <v>1</v>
      </c>
      <c r="S51" s="27">
        <f ca="1" t="shared" si="1"/>
        <v>99</v>
      </c>
      <c r="Z51" s="20">
        <v>50</v>
      </c>
      <c r="AA51" s="28">
        <v>1</v>
      </c>
      <c r="AB51" s="28">
        <v>1</v>
      </c>
      <c r="AC51" s="29">
        <v>1</v>
      </c>
      <c r="AD51" s="30">
        <v>12410</v>
      </c>
      <c r="AP51">
        <v>50</v>
      </c>
      <c r="AQ51" s="26">
        <f ca="1">(1-p_encounter_protection*p_infected_protection)^AS51</f>
        <v>1</v>
      </c>
      <c r="AR51" s="27">
        <f ca="1" t="shared" si="2"/>
        <v>0</v>
      </c>
      <c r="AS51" s="27">
        <f ca="1">IF(AS50&gt;0,_xlfn.BINOM.INV(AS50,1-p_die,RAND()),0)+(AR50-AR51)</f>
        <v>0</v>
      </c>
      <c r="AT51" s="27">
        <f ca="1" t="shared" si="3"/>
        <v>100</v>
      </c>
      <c r="AU51" s="25"/>
      <c r="BA51">
        <v>50</v>
      </c>
      <c r="BB51" s="28">
        <v>1</v>
      </c>
      <c r="BC51" s="28">
        <v>0</v>
      </c>
      <c r="BD51" s="29">
        <v>0.98</v>
      </c>
      <c r="BE51" s="30">
        <v>17170</v>
      </c>
    </row>
    <row r="52" spans="1:57">
      <c r="A52" s="15" t="s">
        <v>113</v>
      </c>
      <c r="B52" s="15"/>
      <c r="C52" s="15"/>
      <c r="D52" s="15"/>
      <c r="E52" s="15"/>
      <c r="F52" s="15"/>
      <c r="G52" s="15"/>
      <c r="H52" s="15"/>
      <c r="O52" s="25">
        <v>51</v>
      </c>
      <c r="P52" s="26">
        <f ca="1">(1-p_encounter*p_infected)^R52</f>
        <v>0.975</v>
      </c>
      <c r="Q52" s="27">
        <f ca="1" t="shared" si="0"/>
        <v>0</v>
      </c>
      <c r="R52" s="27">
        <f ca="1">IF(R51&gt;0,_xlfn.BINOM.INV(R51,1-p_die,RAND()),0)+(Q51-Q52)</f>
        <v>1</v>
      </c>
      <c r="S52" s="27">
        <f ca="1" t="shared" si="1"/>
        <v>99</v>
      </c>
      <c r="Z52" s="20">
        <v>51</v>
      </c>
      <c r="AA52" s="28">
        <v>1</v>
      </c>
      <c r="AB52" s="28">
        <v>1</v>
      </c>
      <c r="AC52" s="29">
        <v>1</v>
      </c>
      <c r="AD52" s="30">
        <v>11420</v>
      </c>
      <c r="AP52">
        <v>51</v>
      </c>
      <c r="AQ52" s="26">
        <f ca="1">(1-p_encounter_protection*p_infected_protection)^AS52</f>
        <v>1</v>
      </c>
      <c r="AR52" s="27">
        <f ca="1" t="shared" si="2"/>
        <v>0</v>
      </c>
      <c r="AS52" s="27">
        <f ca="1">IF(AS51&gt;0,_xlfn.BINOM.INV(AS51,1-p_die,RAND()),0)+(AR51-AR52)</f>
        <v>0</v>
      </c>
      <c r="AT52" s="27">
        <f ca="1" t="shared" si="3"/>
        <v>100</v>
      </c>
      <c r="AU52" s="25"/>
      <c r="BA52">
        <v>51</v>
      </c>
      <c r="BB52" s="28">
        <v>1</v>
      </c>
      <c r="BC52" s="28">
        <v>1</v>
      </c>
      <c r="BD52" s="29">
        <v>1</v>
      </c>
      <c r="BE52" s="30">
        <v>15810</v>
      </c>
    </row>
    <row r="53" spans="1:57">
      <c r="A53" s="16" t="s">
        <v>114</v>
      </c>
      <c r="B53" s="16"/>
      <c r="C53" s="16"/>
      <c r="D53" s="16"/>
      <c r="E53" s="16"/>
      <c r="F53" s="16"/>
      <c r="G53" s="16"/>
      <c r="H53" s="16"/>
      <c r="O53" s="25">
        <v>52</v>
      </c>
      <c r="P53" s="26">
        <f ca="1">(1-p_encounter*p_infected)^R53</f>
        <v>0.975</v>
      </c>
      <c r="Q53" s="27">
        <f ca="1" t="shared" si="0"/>
        <v>0</v>
      </c>
      <c r="R53" s="27">
        <f ca="1">IF(R52&gt;0,_xlfn.BINOM.INV(R52,1-p_die,RAND()),0)+(Q52-Q53)</f>
        <v>1</v>
      </c>
      <c r="S53" s="27">
        <f ca="1" t="shared" si="1"/>
        <v>99</v>
      </c>
      <c r="Z53" s="20">
        <v>52</v>
      </c>
      <c r="AA53" s="28">
        <v>1</v>
      </c>
      <c r="AB53" s="28">
        <v>1</v>
      </c>
      <c r="AC53" s="29">
        <v>1</v>
      </c>
      <c r="AD53" s="30">
        <v>11930</v>
      </c>
      <c r="AP53">
        <v>52</v>
      </c>
      <c r="AQ53" s="26">
        <f ca="1">(1-p_encounter_protection*p_infected_protection)^AS53</f>
        <v>1</v>
      </c>
      <c r="AR53" s="27">
        <f ca="1" t="shared" si="2"/>
        <v>0</v>
      </c>
      <c r="AS53" s="27">
        <f ca="1">IF(AS52&gt;0,_xlfn.BINOM.INV(AS52,1-p_die,RAND()),0)+(AR52-AR53)</f>
        <v>0</v>
      </c>
      <c r="AT53" s="27">
        <f ca="1" t="shared" si="3"/>
        <v>100</v>
      </c>
      <c r="AU53" s="25"/>
      <c r="BA53">
        <v>52</v>
      </c>
      <c r="BB53" s="28">
        <v>1</v>
      </c>
      <c r="BC53" s="28">
        <v>1</v>
      </c>
      <c r="BD53" s="29">
        <v>1</v>
      </c>
      <c r="BE53" s="30">
        <v>15600</v>
      </c>
    </row>
    <row r="54" spans="1:57">
      <c r="A54" s="16"/>
      <c r="B54" s="16"/>
      <c r="C54" s="16"/>
      <c r="D54" s="16"/>
      <c r="E54" s="16"/>
      <c r="F54" s="16"/>
      <c r="G54" s="16"/>
      <c r="H54" s="16"/>
      <c r="O54" s="25">
        <v>53</v>
      </c>
      <c r="P54" s="26">
        <f ca="1">(1-p_encounter*p_infected)^R54</f>
        <v>0.975</v>
      </c>
      <c r="Q54" s="27">
        <f ca="1" t="shared" si="0"/>
        <v>0</v>
      </c>
      <c r="R54" s="27">
        <f ca="1">IF(R53&gt;0,_xlfn.BINOM.INV(R53,1-p_die,RAND()),0)+(Q53-Q54)</f>
        <v>1</v>
      </c>
      <c r="S54" s="27">
        <f ca="1" t="shared" si="1"/>
        <v>99</v>
      </c>
      <c r="Z54" s="20">
        <v>53</v>
      </c>
      <c r="AA54" s="28">
        <v>1</v>
      </c>
      <c r="AB54" s="28">
        <v>1</v>
      </c>
      <c r="AC54" s="29">
        <v>1</v>
      </c>
      <c r="AD54" s="30">
        <v>11780</v>
      </c>
      <c r="AP54">
        <v>53</v>
      </c>
      <c r="AQ54" s="26">
        <f ca="1">(1-p_encounter_protection*p_infected_protection)^AS54</f>
        <v>1</v>
      </c>
      <c r="AR54" s="27">
        <f ca="1" t="shared" si="2"/>
        <v>0</v>
      </c>
      <c r="AS54" s="27">
        <f ca="1">IF(AS53&gt;0,_xlfn.BINOM.INV(AS53,1-p_die,RAND()),0)+(AR53-AR54)</f>
        <v>0</v>
      </c>
      <c r="AT54" s="27">
        <f ca="1" t="shared" si="3"/>
        <v>100</v>
      </c>
      <c r="AU54" s="25"/>
      <c r="BA54">
        <v>53</v>
      </c>
      <c r="BB54" s="28">
        <v>1</v>
      </c>
      <c r="BC54" s="28">
        <v>0</v>
      </c>
      <c r="BD54" s="29">
        <v>0.99</v>
      </c>
      <c r="BE54" s="30">
        <v>14980</v>
      </c>
    </row>
    <row r="55" spans="1:57">
      <c r="A55" s="16"/>
      <c r="B55" s="16"/>
      <c r="C55" s="16"/>
      <c r="D55" s="16"/>
      <c r="E55" s="16"/>
      <c r="F55" s="16"/>
      <c r="G55" s="16"/>
      <c r="H55" s="16"/>
      <c r="O55" s="25">
        <v>54</v>
      </c>
      <c r="P55" s="26">
        <f ca="1">(1-p_encounter*p_infected)^R55</f>
        <v>0.975</v>
      </c>
      <c r="Q55" s="27">
        <f ca="1" t="shared" si="0"/>
        <v>0</v>
      </c>
      <c r="R55" s="27">
        <f ca="1">IF(R54&gt;0,_xlfn.BINOM.INV(R54,1-p_die,RAND()),0)+(Q54-Q55)</f>
        <v>1</v>
      </c>
      <c r="S55" s="27">
        <f ca="1" t="shared" si="1"/>
        <v>99</v>
      </c>
      <c r="Z55" s="20">
        <v>54</v>
      </c>
      <c r="AA55" s="28">
        <v>1</v>
      </c>
      <c r="AB55" s="28">
        <v>1</v>
      </c>
      <c r="AC55" s="29">
        <v>1</v>
      </c>
      <c r="AD55" s="30">
        <v>12740</v>
      </c>
      <c r="AP55">
        <v>54</v>
      </c>
      <c r="AQ55" s="26">
        <f ca="1">(1-p_encounter_protection*p_infected_protection)^AS55</f>
        <v>1</v>
      </c>
      <c r="AR55" s="27">
        <f ca="1" t="shared" si="2"/>
        <v>0</v>
      </c>
      <c r="AS55" s="27">
        <f ca="1">IF(AS54&gt;0,_xlfn.BINOM.INV(AS54,1-p_die,RAND()),0)+(AR54-AR55)</f>
        <v>0</v>
      </c>
      <c r="AT55" s="27">
        <f ca="1" t="shared" si="3"/>
        <v>100</v>
      </c>
      <c r="AU55" s="25"/>
      <c r="BA55">
        <v>54</v>
      </c>
      <c r="BB55" s="28">
        <v>1</v>
      </c>
      <c r="BC55" s="28">
        <v>1</v>
      </c>
      <c r="BD55" s="29">
        <v>1</v>
      </c>
      <c r="BE55" s="30">
        <v>17530</v>
      </c>
    </row>
    <row r="56" spans="1:57">
      <c r="A56" s="16"/>
      <c r="B56" s="16"/>
      <c r="C56" s="16"/>
      <c r="D56" s="16"/>
      <c r="E56" s="16"/>
      <c r="F56" s="16"/>
      <c r="G56" s="16"/>
      <c r="H56" s="16"/>
      <c r="O56" s="25">
        <v>55</v>
      </c>
      <c r="P56" s="26">
        <f ca="1">(1-p_encounter*p_infected)^R56</f>
        <v>1</v>
      </c>
      <c r="Q56" s="27">
        <f ca="1" t="shared" si="0"/>
        <v>0</v>
      </c>
      <c r="R56" s="27">
        <f ca="1">IF(R55&gt;0,_xlfn.BINOM.INV(R55,1-p_die,RAND()),0)+(Q55-Q56)</f>
        <v>0</v>
      </c>
      <c r="S56" s="27">
        <f ca="1" t="shared" si="1"/>
        <v>100</v>
      </c>
      <c r="Z56" s="20">
        <v>55</v>
      </c>
      <c r="AA56" s="28">
        <v>1</v>
      </c>
      <c r="AB56" s="28">
        <v>1</v>
      </c>
      <c r="AC56" s="29">
        <v>1</v>
      </c>
      <c r="AD56" s="30">
        <v>11540</v>
      </c>
      <c r="AP56">
        <v>55</v>
      </c>
      <c r="AQ56" s="26">
        <f ca="1">(1-p_encounter_protection*p_infected_protection)^AS56</f>
        <v>1</v>
      </c>
      <c r="AR56" s="27">
        <f ca="1" t="shared" si="2"/>
        <v>0</v>
      </c>
      <c r="AS56" s="27">
        <f ca="1">IF(AS55&gt;0,_xlfn.BINOM.INV(AS55,1-p_die,RAND()),0)+(AR55-AR56)</f>
        <v>0</v>
      </c>
      <c r="AT56" s="27">
        <f ca="1" t="shared" si="3"/>
        <v>100</v>
      </c>
      <c r="AU56" s="25"/>
      <c r="BA56">
        <v>55</v>
      </c>
      <c r="BB56" s="28">
        <v>1</v>
      </c>
      <c r="BC56" s="28">
        <v>1</v>
      </c>
      <c r="BD56" s="29">
        <v>1</v>
      </c>
      <c r="BE56" s="30">
        <v>17220</v>
      </c>
    </row>
    <row r="57" spans="1:57">
      <c r="A57" s="16"/>
      <c r="B57" s="16"/>
      <c r="C57" s="16"/>
      <c r="D57" s="16"/>
      <c r="E57" s="16"/>
      <c r="F57" s="16"/>
      <c r="G57" s="16"/>
      <c r="H57" s="16"/>
      <c r="O57" s="25">
        <v>56</v>
      </c>
      <c r="P57" s="26">
        <f ca="1">(1-p_encounter*p_infected)^R57</f>
        <v>1</v>
      </c>
      <c r="Q57" s="27">
        <f ca="1" t="shared" si="0"/>
        <v>0</v>
      </c>
      <c r="R57" s="27">
        <f ca="1">IF(R56&gt;0,_xlfn.BINOM.INV(R56,1-p_die,RAND()),0)+(Q56-Q57)</f>
        <v>0</v>
      </c>
      <c r="S57" s="27">
        <f ca="1" t="shared" si="1"/>
        <v>100</v>
      </c>
      <c r="Z57" s="20">
        <v>56</v>
      </c>
      <c r="AA57" s="28">
        <v>1</v>
      </c>
      <c r="AB57" s="28">
        <v>1</v>
      </c>
      <c r="AC57" s="29">
        <v>1</v>
      </c>
      <c r="AD57" s="30">
        <v>13930</v>
      </c>
      <c r="AP57">
        <v>56</v>
      </c>
      <c r="AQ57" s="26">
        <f ca="1">(1-p_encounter_protection*p_infected_protection)^AS57</f>
        <v>1</v>
      </c>
      <c r="AR57" s="27">
        <f ca="1" t="shared" si="2"/>
        <v>0</v>
      </c>
      <c r="AS57" s="27">
        <f ca="1">IF(AS56&gt;0,_xlfn.BINOM.INV(AS56,1-p_die,RAND()),0)+(AR56-AR57)</f>
        <v>0</v>
      </c>
      <c r="AT57" s="27">
        <f ca="1" t="shared" si="3"/>
        <v>100</v>
      </c>
      <c r="AU57" s="25"/>
      <c r="BA57">
        <v>56</v>
      </c>
      <c r="BB57" s="28">
        <v>1</v>
      </c>
      <c r="BC57" s="28">
        <v>1</v>
      </c>
      <c r="BD57" s="29">
        <v>1</v>
      </c>
      <c r="BE57" s="30">
        <v>17550</v>
      </c>
    </row>
    <row r="58" spans="15:57">
      <c r="O58" s="25">
        <v>57</v>
      </c>
      <c r="P58" s="26">
        <f ca="1">(1-p_encounter*p_infected)^R58</f>
        <v>1</v>
      </c>
      <c r="Q58" s="27">
        <f ca="1" t="shared" si="0"/>
        <v>0</v>
      </c>
      <c r="R58" s="27">
        <f ca="1">IF(R57&gt;0,_xlfn.BINOM.INV(R57,1-p_die,RAND()),0)+(Q57-Q58)</f>
        <v>0</v>
      </c>
      <c r="S58" s="27">
        <f ca="1" t="shared" si="1"/>
        <v>100</v>
      </c>
      <c r="Z58" s="20">
        <v>57</v>
      </c>
      <c r="AA58" s="28">
        <v>1</v>
      </c>
      <c r="AB58" s="28">
        <v>1</v>
      </c>
      <c r="AC58" s="29">
        <v>1</v>
      </c>
      <c r="AD58" s="30">
        <v>12740</v>
      </c>
      <c r="AP58">
        <v>57</v>
      </c>
      <c r="AQ58" s="26">
        <f ca="1">(1-p_encounter_protection*p_infected_protection)^AS58</f>
        <v>1</v>
      </c>
      <c r="AR58" s="27">
        <f ca="1" t="shared" si="2"/>
        <v>0</v>
      </c>
      <c r="AS58" s="27">
        <f ca="1">IF(AS57&gt;0,_xlfn.BINOM.INV(AS57,1-p_die,RAND()),0)+(AR57-AR58)</f>
        <v>0</v>
      </c>
      <c r="AT58" s="27">
        <f ca="1" t="shared" si="3"/>
        <v>100</v>
      </c>
      <c r="AU58" s="25"/>
      <c r="BA58">
        <v>57</v>
      </c>
      <c r="BB58" s="28">
        <v>1</v>
      </c>
      <c r="BC58" s="28">
        <v>0</v>
      </c>
      <c r="BD58" s="29">
        <v>0.99</v>
      </c>
      <c r="BE58" s="30">
        <v>18870</v>
      </c>
    </row>
    <row r="59" spans="1:57">
      <c r="A59" s="15" t="s">
        <v>115</v>
      </c>
      <c r="B59" s="15"/>
      <c r="C59" s="15"/>
      <c r="D59" s="15"/>
      <c r="E59" s="15"/>
      <c r="F59" s="15"/>
      <c r="G59" s="15"/>
      <c r="H59" s="15"/>
      <c r="O59" s="25">
        <v>58</v>
      </c>
      <c r="P59" s="26">
        <f ca="1">(1-p_encounter*p_infected)^R59</f>
        <v>1</v>
      </c>
      <c r="Q59" s="27">
        <f ca="1" t="shared" si="0"/>
        <v>0</v>
      </c>
      <c r="R59" s="27">
        <f ca="1">IF(R58&gt;0,_xlfn.BINOM.INV(R58,1-p_die,RAND()),0)+(Q58-Q59)</f>
        <v>0</v>
      </c>
      <c r="S59" s="27">
        <f ca="1" t="shared" si="1"/>
        <v>100</v>
      </c>
      <c r="Z59" s="20">
        <v>58</v>
      </c>
      <c r="AA59" s="28">
        <v>1</v>
      </c>
      <c r="AB59" s="28">
        <v>1</v>
      </c>
      <c r="AC59" s="29">
        <v>1</v>
      </c>
      <c r="AD59" s="30">
        <v>11220</v>
      </c>
      <c r="AP59">
        <v>58</v>
      </c>
      <c r="AQ59" s="26">
        <f ca="1">(1-p_encounter_protection*p_infected_protection)^AS59</f>
        <v>1</v>
      </c>
      <c r="AR59" s="27">
        <f ca="1" t="shared" si="2"/>
        <v>0</v>
      </c>
      <c r="AS59" s="27">
        <f ca="1">IF(AS58&gt;0,_xlfn.BINOM.INV(AS58,1-p_die,RAND()),0)+(AR58-AR59)</f>
        <v>0</v>
      </c>
      <c r="AT59" s="27">
        <f ca="1" t="shared" si="3"/>
        <v>100</v>
      </c>
      <c r="AU59" s="25"/>
      <c r="BA59">
        <v>58</v>
      </c>
      <c r="BB59" s="28">
        <v>1</v>
      </c>
      <c r="BC59" s="28">
        <v>1</v>
      </c>
      <c r="BD59" s="29">
        <v>1</v>
      </c>
      <c r="BE59" s="30">
        <v>17280</v>
      </c>
    </row>
    <row r="60" spans="1:57">
      <c r="A60" s="16" t="s">
        <v>116</v>
      </c>
      <c r="B60" s="16"/>
      <c r="C60" s="16"/>
      <c r="D60" s="16"/>
      <c r="E60" s="16"/>
      <c r="F60" s="16"/>
      <c r="G60" s="16"/>
      <c r="H60" s="16"/>
      <c r="O60" s="25">
        <v>59</v>
      </c>
      <c r="P60" s="26">
        <f ca="1">(1-p_encounter*p_infected)^R60</f>
        <v>1</v>
      </c>
      <c r="Q60" s="27">
        <f ca="1" t="shared" si="0"/>
        <v>0</v>
      </c>
      <c r="R60" s="27">
        <f ca="1">IF(R59&gt;0,_xlfn.BINOM.INV(R59,1-p_die,RAND()),0)+(Q59-Q60)</f>
        <v>0</v>
      </c>
      <c r="S60" s="27">
        <f ca="1" t="shared" si="1"/>
        <v>100</v>
      </c>
      <c r="Z60" s="20">
        <v>59</v>
      </c>
      <c r="AA60" s="28">
        <v>1</v>
      </c>
      <c r="AB60" s="28">
        <v>1</v>
      </c>
      <c r="AC60" s="29">
        <v>1</v>
      </c>
      <c r="AD60" s="30">
        <v>12530</v>
      </c>
      <c r="AP60">
        <v>59</v>
      </c>
      <c r="AQ60" s="26">
        <f ca="1">(1-p_encounter_protection*p_infected_protection)^AS60</f>
        <v>1</v>
      </c>
      <c r="AR60" s="27">
        <f ca="1" t="shared" si="2"/>
        <v>0</v>
      </c>
      <c r="AS60" s="27">
        <f ca="1">IF(AS59&gt;0,_xlfn.BINOM.INV(AS59,1-p_die,RAND()),0)+(AR59-AR60)</f>
        <v>0</v>
      </c>
      <c r="AT60" s="27">
        <f ca="1" t="shared" si="3"/>
        <v>100</v>
      </c>
      <c r="AU60" s="25"/>
      <c r="BA60">
        <v>59</v>
      </c>
      <c r="BB60" s="28">
        <v>1</v>
      </c>
      <c r="BC60" s="28">
        <v>0</v>
      </c>
      <c r="BD60" s="29">
        <v>0.98</v>
      </c>
      <c r="BE60" s="30">
        <v>17100</v>
      </c>
    </row>
    <row r="61" spans="1:57">
      <c r="A61" s="16"/>
      <c r="B61" s="16"/>
      <c r="C61" s="16"/>
      <c r="D61" s="16"/>
      <c r="E61" s="16"/>
      <c r="F61" s="16"/>
      <c r="G61" s="16"/>
      <c r="H61" s="16"/>
      <c r="O61" s="25">
        <v>60</v>
      </c>
      <c r="P61" s="26">
        <f ca="1">(1-p_encounter*p_infected)^R61</f>
        <v>1</v>
      </c>
      <c r="Q61" s="27">
        <f ca="1" t="shared" si="0"/>
        <v>0</v>
      </c>
      <c r="R61" s="27">
        <f ca="1">IF(R60&gt;0,_xlfn.BINOM.INV(R60,1-p_die,RAND()),0)+(Q60-Q61)</f>
        <v>0</v>
      </c>
      <c r="S61" s="27">
        <f ca="1" t="shared" si="1"/>
        <v>100</v>
      </c>
      <c r="Z61" s="20">
        <v>60</v>
      </c>
      <c r="AA61" s="28">
        <v>1</v>
      </c>
      <c r="AB61" s="28">
        <v>1</v>
      </c>
      <c r="AC61" s="29">
        <v>1</v>
      </c>
      <c r="AD61" s="30">
        <v>11720</v>
      </c>
      <c r="AP61">
        <v>60</v>
      </c>
      <c r="AQ61" s="26">
        <f ca="1">(1-p_encounter_protection*p_infected_protection)^AS61</f>
        <v>1</v>
      </c>
      <c r="AR61" s="27">
        <f ca="1" t="shared" si="2"/>
        <v>0</v>
      </c>
      <c r="AS61" s="27">
        <f ca="1">IF(AS60&gt;0,_xlfn.BINOM.INV(AS60,1-p_die,RAND()),0)+(AR60-AR61)</f>
        <v>0</v>
      </c>
      <c r="AT61" s="27">
        <f ca="1" t="shared" si="3"/>
        <v>100</v>
      </c>
      <c r="AU61" s="25"/>
      <c r="BA61">
        <v>60</v>
      </c>
      <c r="BB61" s="28">
        <v>1</v>
      </c>
      <c r="BC61" s="28">
        <v>1</v>
      </c>
      <c r="BD61" s="29">
        <v>1</v>
      </c>
      <c r="BE61" s="30">
        <v>16730</v>
      </c>
    </row>
    <row r="62" spans="1:57">
      <c r="A62" s="16"/>
      <c r="B62" s="16"/>
      <c r="C62" s="16"/>
      <c r="D62" s="16"/>
      <c r="E62" s="16"/>
      <c r="F62" s="16"/>
      <c r="G62" s="16"/>
      <c r="H62" s="16"/>
      <c r="O62" s="25">
        <v>61</v>
      </c>
      <c r="P62" s="26">
        <f ca="1">(1-p_encounter*p_infected)^R62</f>
        <v>1</v>
      </c>
      <c r="Q62" s="27">
        <f ca="1" t="shared" si="0"/>
        <v>0</v>
      </c>
      <c r="R62" s="27">
        <f ca="1">IF(R61&gt;0,_xlfn.BINOM.INV(R61,1-p_die,RAND()),0)+(Q61-Q62)</f>
        <v>0</v>
      </c>
      <c r="S62" s="27">
        <f ca="1" t="shared" si="1"/>
        <v>100</v>
      </c>
      <c r="Z62" s="20">
        <v>61</v>
      </c>
      <c r="AA62" s="28">
        <v>1</v>
      </c>
      <c r="AB62" s="28">
        <v>1</v>
      </c>
      <c r="AC62" s="29">
        <v>1</v>
      </c>
      <c r="AD62" s="30">
        <v>13070</v>
      </c>
      <c r="AP62">
        <v>61</v>
      </c>
      <c r="AQ62" s="26">
        <f ca="1">(1-p_encounter_protection*p_infected_protection)^AS62</f>
        <v>1</v>
      </c>
      <c r="AR62" s="27">
        <f ca="1" t="shared" si="2"/>
        <v>0</v>
      </c>
      <c r="AS62" s="27">
        <f ca="1">IF(AS61&gt;0,_xlfn.BINOM.INV(AS61,1-p_die,RAND()),0)+(AR61-AR62)</f>
        <v>0</v>
      </c>
      <c r="AT62" s="27">
        <f ca="1" t="shared" si="3"/>
        <v>100</v>
      </c>
      <c r="AU62" s="25"/>
      <c r="BA62">
        <v>61</v>
      </c>
      <c r="BB62" s="28">
        <v>1</v>
      </c>
      <c r="BC62" s="28">
        <v>1</v>
      </c>
      <c r="BD62" s="29">
        <v>1</v>
      </c>
      <c r="BE62" s="30">
        <v>19220</v>
      </c>
    </row>
    <row r="63" spans="1:57">
      <c r="A63" s="16"/>
      <c r="B63" s="16"/>
      <c r="C63" s="16"/>
      <c r="D63" s="16"/>
      <c r="E63" s="16"/>
      <c r="F63" s="16"/>
      <c r="G63" s="16"/>
      <c r="H63" s="16"/>
      <c r="O63" s="25">
        <v>62</v>
      </c>
      <c r="P63" s="26">
        <f ca="1">(1-p_encounter*p_infected)^R63</f>
        <v>1</v>
      </c>
      <c r="Q63" s="27">
        <f ca="1" t="shared" si="0"/>
        <v>0</v>
      </c>
      <c r="R63" s="27">
        <f ca="1">IF(R62&gt;0,_xlfn.BINOM.INV(R62,1-p_die,RAND()),0)+(Q62-Q63)</f>
        <v>0</v>
      </c>
      <c r="S63" s="27">
        <f ca="1" t="shared" si="1"/>
        <v>100</v>
      </c>
      <c r="Z63" s="20">
        <v>62</v>
      </c>
      <c r="AA63" s="28">
        <v>1</v>
      </c>
      <c r="AB63" s="28">
        <v>1</v>
      </c>
      <c r="AC63" s="29">
        <v>1</v>
      </c>
      <c r="AD63" s="30">
        <v>10990</v>
      </c>
      <c r="AP63">
        <v>62</v>
      </c>
      <c r="AQ63" s="26">
        <f ca="1">(1-p_encounter_protection*p_infected_protection)^AS63</f>
        <v>1</v>
      </c>
      <c r="AR63" s="27">
        <f ca="1" t="shared" si="2"/>
        <v>0</v>
      </c>
      <c r="AS63" s="27">
        <f ca="1">IF(AS62&gt;0,_xlfn.BINOM.INV(AS62,1-p_die,RAND()),0)+(AR62-AR63)</f>
        <v>0</v>
      </c>
      <c r="AT63" s="27">
        <f ca="1" t="shared" si="3"/>
        <v>100</v>
      </c>
      <c r="AU63" s="25"/>
      <c r="BA63">
        <v>62</v>
      </c>
      <c r="BB63" s="28">
        <v>1</v>
      </c>
      <c r="BC63" s="28">
        <v>1</v>
      </c>
      <c r="BD63" s="29">
        <v>1</v>
      </c>
      <c r="BE63" s="30">
        <v>15350</v>
      </c>
    </row>
    <row r="64" spans="1:57">
      <c r="A64" s="16"/>
      <c r="B64" s="16"/>
      <c r="C64" s="16"/>
      <c r="D64" s="16"/>
      <c r="E64" s="16"/>
      <c r="F64" s="16"/>
      <c r="G64" s="16"/>
      <c r="H64" s="16"/>
      <c r="O64" s="25">
        <v>63</v>
      </c>
      <c r="P64" s="26">
        <f ca="1">(1-p_encounter*p_infected)^R64</f>
        <v>1</v>
      </c>
      <c r="Q64" s="27">
        <f ca="1" t="shared" si="0"/>
        <v>0</v>
      </c>
      <c r="R64" s="27">
        <f ca="1">IF(R63&gt;0,_xlfn.BINOM.INV(R63,1-p_die,RAND()),0)+(Q63-Q64)</f>
        <v>0</v>
      </c>
      <c r="S64" s="27">
        <f ca="1" t="shared" si="1"/>
        <v>100</v>
      </c>
      <c r="Z64" s="20">
        <v>63</v>
      </c>
      <c r="AA64" s="28">
        <v>1</v>
      </c>
      <c r="AB64" s="28">
        <v>1</v>
      </c>
      <c r="AC64" s="29">
        <v>1</v>
      </c>
      <c r="AD64" s="30">
        <v>12130</v>
      </c>
      <c r="AP64">
        <v>63</v>
      </c>
      <c r="AQ64" s="26">
        <f ca="1">(1-p_encounter_protection*p_infected_protection)^AS64</f>
        <v>1</v>
      </c>
      <c r="AR64" s="27">
        <f ca="1" t="shared" si="2"/>
        <v>0</v>
      </c>
      <c r="AS64" s="27">
        <f ca="1">IF(AS63&gt;0,_xlfn.BINOM.INV(AS63,1-p_die,RAND()),0)+(AR63-AR64)</f>
        <v>0</v>
      </c>
      <c r="AT64" s="27">
        <f ca="1" t="shared" si="3"/>
        <v>100</v>
      </c>
      <c r="AU64" s="25"/>
      <c r="BA64">
        <v>63</v>
      </c>
      <c r="BB64" s="28">
        <v>1</v>
      </c>
      <c r="BC64" s="28">
        <v>0</v>
      </c>
      <c r="BD64" s="29">
        <v>0.98</v>
      </c>
      <c r="BE64" s="30">
        <v>17790</v>
      </c>
    </row>
    <row r="65" spans="15:57">
      <c r="O65" s="25">
        <v>64</v>
      </c>
      <c r="P65" s="26">
        <f ca="1">(1-p_encounter*p_infected)^R65</f>
        <v>1</v>
      </c>
      <c r="Q65" s="27">
        <f ca="1" t="shared" si="0"/>
        <v>0</v>
      </c>
      <c r="R65" s="27">
        <f ca="1">IF(R64&gt;0,_xlfn.BINOM.INV(R64,1-p_die,RAND()),0)+(Q64-Q65)</f>
        <v>0</v>
      </c>
      <c r="S65" s="27">
        <f ca="1" t="shared" si="1"/>
        <v>100</v>
      </c>
      <c r="Z65" s="20">
        <v>64</v>
      </c>
      <c r="AA65" s="28">
        <v>1</v>
      </c>
      <c r="AB65" s="28">
        <v>1</v>
      </c>
      <c r="AC65" s="29">
        <v>1</v>
      </c>
      <c r="AD65" s="30">
        <v>11920</v>
      </c>
      <c r="AP65">
        <v>64</v>
      </c>
      <c r="AQ65" s="26">
        <f ca="1">(1-p_encounter_protection*p_infected_protection)^AS65</f>
        <v>1</v>
      </c>
      <c r="AR65" s="27">
        <f ca="1" t="shared" si="2"/>
        <v>0</v>
      </c>
      <c r="AS65" s="27">
        <f ca="1">IF(AS64&gt;0,_xlfn.BINOM.INV(AS64,1-p_die,RAND()),0)+(AR64-AR65)</f>
        <v>0</v>
      </c>
      <c r="AT65" s="27">
        <f ca="1" t="shared" si="3"/>
        <v>100</v>
      </c>
      <c r="AU65" s="25"/>
      <c r="BA65">
        <v>64</v>
      </c>
      <c r="BB65" s="28">
        <v>1</v>
      </c>
      <c r="BC65" s="28">
        <v>1</v>
      </c>
      <c r="BD65" s="29">
        <v>1</v>
      </c>
      <c r="BE65" s="30">
        <v>18680</v>
      </c>
    </row>
    <row r="66" spans="1:57">
      <c r="A66" s="15" t="s">
        <v>117</v>
      </c>
      <c r="B66" s="15"/>
      <c r="C66" s="15"/>
      <c r="D66" s="15"/>
      <c r="E66" s="15"/>
      <c r="F66" s="15"/>
      <c r="G66" s="15"/>
      <c r="H66" s="15"/>
      <c r="O66" s="25">
        <v>65</v>
      </c>
      <c r="P66" s="26">
        <f ca="1">(1-p_encounter*p_infected)^R66</f>
        <v>1</v>
      </c>
      <c r="Q66" s="27">
        <f ca="1" t="shared" si="0"/>
        <v>0</v>
      </c>
      <c r="R66" s="27">
        <f ca="1">IF(R65&gt;0,_xlfn.BINOM.INV(R65,1-p_die,RAND()),0)+(Q65-Q66)</f>
        <v>0</v>
      </c>
      <c r="S66" s="27">
        <f ca="1" t="shared" si="1"/>
        <v>100</v>
      </c>
      <c r="Z66" s="20">
        <v>65</v>
      </c>
      <c r="AA66" s="28">
        <v>1</v>
      </c>
      <c r="AB66" s="28">
        <v>1</v>
      </c>
      <c r="AC66" s="29">
        <v>1</v>
      </c>
      <c r="AD66" s="30">
        <v>12080</v>
      </c>
      <c r="AP66">
        <v>65</v>
      </c>
      <c r="AQ66" s="26">
        <f ca="1">(1-p_encounter_protection*p_infected_protection)^AS66</f>
        <v>1</v>
      </c>
      <c r="AR66" s="27">
        <f ca="1" t="shared" si="2"/>
        <v>0</v>
      </c>
      <c r="AS66" s="27">
        <f ca="1">IF(AS65&gt;0,_xlfn.BINOM.INV(AS65,1-p_die,RAND()),0)+(AR65-AR66)</f>
        <v>0</v>
      </c>
      <c r="AT66" s="27">
        <f ca="1" t="shared" si="3"/>
        <v>100</v>
      </c>
      <c r="AU66" s="25"/>
      <c r="BA66">
        <v>65</v>
      </c>
      <c r="BB66" s="28">
        <v>1</v>
      </c>
      <c r="BC66" s="28">
        <v>0</v>
      </c>
      <c r="BD66" s="29">
        <v>0.99</v>
      </c>
      <c r="BE66" s="30">
        <v>15710</v>
      </c>
    </row>
    <row r="67" spans="1:57">
      <c r="A67" s="16" t="s">
        <v>118</v>
      </c>
      <c r="B67" s="16"/>
      <c r="C67" s="16"/>
      <c r="D67" s="16"/>
      <c r="E67" s="16"/>
      <c r="F67" s="16"/>
      <c r="G67" s="16"/>
      <c r="H67" s="16"/>
      <c r="O67" s="25">
        <v>66</v>
      </c>
      <c r="P67" s="26">
        <f ca="1">(1-p_encounter*p_infected)^R67</f>
        <v>1</v>
      </c>
      <c r="Q67" s="27">
        <f ca="1" t="shared" si="0"/>
        <v>0</v>
      </c>
      <c r="R67" s="27">
        <f ca="1">IF(R66&gt;0,_xlfn.BINOM.INV(R66,1-p_die,RAND()),0)+(Q66-Q67)</f>
        <v>0</v>
      </c>
      <c r="S67" s="27">
        <f ca="1" t="shared" si="1"/>
        <v>100</v>
      </c>
      <c r="Z67" s="20">
        <v>66</v>
      </c>
      <c r="AA67" s="28">
        <v>1</v>
      </c>
      <c r="AB67" s="28">
        <v>1</v>
      </c>
      <c r="AC67" s="29">
        <v>1</v>
      </c>
      <c r="AD67" s="30">
        <v>12220</v>
      </c>
      <c r="AP67">
        <v>66</v>
      </c>
      <c r="AQ67" s="26">
        <f ca="1">(1-p_encounter_protection*p_infected_protection)^AS67</f>
        <v>1</v>
      </c>
      <c r="AR67" s="27">
        <f ca="1" t="shared" si="2"/>
        <v>0</v>
      </c>
      <c r="AS67" s="27">
        <f ca="1">IF(AS66&gt;0,_xlfn.BINOM.INV(AS66,1-p_die,RAND()),0)+(AR66-AR67)</f>
        <v>0</v>
      </c>
      <c r="AT67" s="27">
        <f ca="1" t="shared" si="3"/>
        <v>100</v>
      </c>
      <c r="AU67" s="25"/>
      <c r="BA67">
        <v>66</v>
      </c>
      <c r="BB67" s="28">
        <v>1</v>
      </c>
      <c r="BC67" s="28">
        <v>1</v>
      </c>
      <c r="BD67" s="29">
        <v>1</v>
      </c>
      <c r="BE67" s="30">
        <v>19590</v>
      </c>
    </row>
    <row r="68" spans="1:57">
      <c r="A68" s="16"/>
      <c r="B68" s="16"/>
      <c r="C68" s="16"/>
      <c r="D68" s="16"/>
      <c r="E68" s="16"/>
      <c r="F68" s="16"/>
      <c r="G68" s="16"/>
      <c r="H68" s="16"/>
      <c r="O68" s="25">
        <v>67</v>
      </c>
      <c r="P68" s="26">
        <f ca="1">(1-p_encounter*p_infected)^R68</f>
        <v>1</v>
      </c>
      <c r="Q68" s="27">
        <f ca="1" t="shared" si="0"/>
        <v>0</v>
      </c>
      <c r="R68" s="27">
        <f ca="1">IF(R67&gt;0,_xlfn.BINOM.INV(R67,1-p_die,RAND()),0)+(Q67-Q68)</f>
        <v>0</v>
      </c>
      <c r="S68" s="27">
        <f ca="1" t="shared" si="1"/>
        <v>100</v>
      </c>
      <c r="Z68" s="20">
        <v>67</v>
      </c>
      <c r="AA68" s="28">
        <v>1</v>
      </c>
      <c r="AB68" s="28">
        <v>1</v>
      </c>
      <c r="AC68" s="29">
        <v>1</v>
      </c>
      <c r="AD68" s="30">
        <v>11480</v>
      </c>
      <c r="AP68">
        <v>67</v>
      </c>
      <c r="AQ68" s="26">
        <f ca="1">(1-p_encounter_protection*p_infected_protection)^AS68</f>
        <v>1</v>
      </c>
      <c r="AR68" s="27">
        <f ca="1" t="shared" si="2"/>
        <v>0</v>
      </c>
      <c r="AS68" s="27">
        <f ca="1">IF(AS67&gt;0,_xlfn.BINOM.INV(AS67,1-p_die,RAND()),0)+(AR67-AR68)</f>
        <v>0</v>
      </c>
      <c r="AT68" s="27">
        <f ca="1" t="shared" si="3"/>
        <v>100</v>
      </c>
      <c r="AU68" s="25"/>
      <c r="BA68">
        <v>67</v>
      </c>
      <c r="BB68" s="28">
        <v>1</v>
      </c>
      <c r="BC68" s="28">
        <v>1</v>
      </c>
      <c r="BD68" s="29">
        <v>1</v>
      </c>
      <c r="BE68" s="30">
        <v>15000</v>
      </c>
    </row>
    <row r="69" spans="1:57">
      <c r="A69" s="16"/>
      <c r="B69" s="16"/>
      <c r="C69" s="16"/>
      <c r="D69" s="16"/>
      <c r="E69" s="16"/>
      <c r="F69" s="16"/>
      <c r="G69" s="16"/>
      <c r="H69" s="16"/>
      <c r="O69" s="25">
        <v>68</v>
      </c>
      <c r="P69" s="26">
        <f ca="1">(1-p_encounter*p_infected)^R69</f>
        <v>1</v>
      </c>
      <c r="Q69" s="27">
        <f ca="1" t="shared" ref="Q69:Q101" si="4">IF(R68=0,Q68,_xlfn.BINOM.INV(Q68,P68,RAND()))</f>
        <v>0</v>
      </c>
      <c r="R69" s="27">
        <f ca="1">IF(R68&gt;0,_xlfn.BINOM.INV(R68,1-p_die,RAND()),0)+(Q68-Q69)</f>
        <v>0</v>
      </c>
      <c r="S69" s="27">
        <f ca="1" t="shared" ref="S69:S101" si="5">100-Q69-R69</f>
        <v>100</v>
      </c>
      <c r="Z69" s="20">
        <v>68</v>
      </c>
      <c r="AA69" s="28">
        <v>1</v>
      </c>
      <c r="AB69" s="28">
        <v>1</v>
      </c>
      <c r="AC69" s="29">
        <v>1</v>
      </c>
      <c r="AD69" s="30">
        <v>12800</v>
      </c>
      <c r="AP69">
        <v>68</v>
      </c>
      <c r="AQ69" s="26">
        <f ca="1">(1-p_encounter_protection*p_infected_protection)^AS69</f>
        <v>1</v>
      </c>
      <c r="AR69" s="27">
        <f ca="1" t="shared" ref="AR69:AR101" si="6">IF(AS68=0,AR68,_xlfn.BINOM.INV(AR68,AQ68,RAND()))</f>
        <v>0</v>
      </c>
      <c r="AS69" s="27">
        <f ca="1">IF(AS68&gt;0,_xlfn.BINOM.INV(AS68,1-p_die,RAND()),0)+(AR68-AR69)</f>
        <v>0</v>
      </c>
      <c r="AT69" s="27">
        <f ca="1" t="shared" ref="AT69:AT101" si="7">100-AR69-AS69</f>
        <v>100</v>
      </c>
      <c r="AU69" s="25"/>
      <c r="BA69">
        <v>68</v>
      </c>
      <c r="BB69" s="28">
        <v>1</v>
      </c>
      <c r="BC69" s="28">
        <v>1</v>
      </c>
      <c r="BD69" s="29">
        <v>1</v>
      </c>
      <c r="BE69" s="30">
        <v>16580</v>
      </c>
    </row>
    <row r="70" spans="1:57">
      <c r="A70" s="16"/>
      <c r="B70" s="16"/>
      <c r="C70" s="16"/>
      <c r="D70" s="16"/>
      <c r="E70" s="16"/>
      <c r="F70" s="16"/>
      <c r="G70" s="16"/>
      <c r="H70" s="16"/>
      <c r="O70" s="25">
        <v>69</v>
      </c>
      <c r="P70" s="26">
        <f ca="1">(1-p_encounter*p_infected)^R70</f>
        <v>1</v>
      </c>
      <c r="Q70" s="27">
        <f ca="1" t="shared" si="4"/>
        <v>0</v>
      </c>
      <c r="R70" s="27">
        <f ca="1">IF(R69&gt;0,_xlfn.BINOM.INV(R69,1-p_die,RAND()),0)+(Q69-Q70)</f>
        <v>0</v>
      </c>
      <c r="S70" s="27">
        <f ca="1" t="shared" si="5"/>
        <v>100</v>
      </c>
      <c r="Z70" s="20">
        <v>69</v>
      </c>
      <c r="AA70" s="28">
        <v>1</v>
      </c>
      <c r="AB70" s="28">
        <v>1</v>
      </c>
      <c r="AC70" s="29">
        <v>1</v>
      </c>
      <c r="AD70" s="30">
        <v>11970</v>
      </c>
      <c r="AP70">
        <v>69</v>
      </c>
      <c r="AQ70" s="26">
        <f ca="1">(1-p_encounter_protection*p_infected_protection)^AS70</f>
        <v>1</v>
      </c>
      <c r="AR70" s="27">
        <f ca="1" t="shared" si="6"/>
        <v>0</v>
      </c>
      <c r="AS70" s="27">
        <f ca="1">IF(AS69&gt;0,_xlfn.BINOM.INV(AS69,1-p_die,RAND()),0)+(AR69-AR70)</f>
        <v>0</v>
      </c>
      <c r="AT70" s="27">
        <f ca="1" t="shared" si="7"/>
        <v>100</v>
      </c>
      <c r="AU70" s="25"/>
      <c r="BA70">
        <v>69</v>
      </c>
      <c r="BB70" s="28">
        <v>1</v>
      </c>
      <c r="BC70" s="28">
        <v>0</v>
      </c>
      <c r="BD70" s="29">
        <v>0.98</v>
      </c>
      <c r="BE70" s="30">
        <v>16920</v>
      </c>
    </row>
    <row r="71" spans="1:57">
      <c r="A71" s="16"/>
      <c r="B71" s="16"/>
      <c r="C71" s="16"/>
      <c r="D71" s="16"/>
      <c r="E71" s="16"/>
      <c r="F71" s="16"/>
      <c r="G71" s="16"/>
      <c r="H71" s="16"/>
      <c r="O71" s="25">
        <v>70</v>
      </c>
      <c r="P71" s="26">
        <f ca="1">(1-p_encounter*p_infected)^R71</f>
        <v>1</v>
      </c>
      <c r="Q71" s="27">
        <f ca="1" t="shared" si="4"/>
        <v>0</v>
      </c>
      <c r="R71" s="27">
        <f ca="1">IF(R70&gt;0,_xlfn.BINOM.INV(R70,1-p_die,RAND()),0)+(Q70-Q71)</f>
        <v>0</v>
      </c>
      <c r="S71" s="27">
        <f ca="1" t="shared" si="5"/>
        <v>100</v>
      </c>
      <c r="Z71" s="20">
        <v>70</v>
      </c>
      <c r="AA71" s="28">
        <v>0</v>
      </c>
      <c r="AB71" s="28">
        <v>0</v>
      </c>
      <c r="AC71" s="29">
        <v>1</v>
      </c>
      <c r="AD71" s="30">
        <v>13670</v>
      </c>
      <c r="AP71">
        <v>70</v>
      </c>
      <c r="AQ71" s="26">
        <f ca="1">(1-p_encounter_protection*p_infected_protection)^AS71</f>
        <v>1</v>
      </c>
      <c r="AR71" s="27">
        <f ca="1" t="shared" si="6"/>
        <v>0</v>
      </c>
      <c r="AS71" s="27">
        <f ca="1">IF(AS70&gt;0,_xlfn.BINOM.INV(AS70,1-p_die,RAND()),0)+(AR70-AR71)</f>
        <v>0</v>
      </c>
      <c r="AT71" s="27">
        <f ca="1" t="shared" si="7"/>
        <v>100</v>
      </c>
      <c r="AU71" s="25"/>
      <c r="BA71">
        <v>70</v>
      </c>
      <c r="BB71" s="28">
        <v>1</v>
      </c>
      <c r="BC71" s="28">
        <v>0</v>
      </c>
      <c r="BD71" s="29">
        <v>0.99</v>
      </c>
      <c r="BE71" s="30">
        <v>17430</v>
      </c>
    </row>
    <row r="72" spans="15:57">
      <c r="O72" s="25">
        <v>71</v>
      </c>
      <c r="P72" s="26">
        <f ca="1">(1-p_encounter*p_infected)^R72</f>
        <v>1</v>
      </c>
      <c r="Q72" s="27">
        <f ca="1" t="shared" si="4"/>
        <v>0</v>
      </c>
      <c r="R72" s="27">
        <f ca="1">IF(R71&gt;0,_xlfn.BINOM.INV(R71,1-p_die,RAND()),0)+(Q71-Q72)</f>
        <v>0</v>
      </c>
      <c r="S72" s="27">
        <f ca="1" t="shared" si="5"/>
        <v>100</v>
      </c>
      <c r="Z72" s="20">
        <v>71</v>
      </c>
      <c r="AA72" s="28">
        <v>1</v>
      </c>
      <c r="AB72" s="28">
        <v>1</v>
      </c>
      <c r="AC72" s="29">
        <v>1</v>
      </c>
      <c r="AD72" s="30">
        <v>12460</v>
      </c>
      <c r="AP72">
        <v>71</v>
      </c>
      <c r="AQ72" s="26">
        <f ca="1">(1-p_encounter_protection*p_infected_protection)^AS72</f>
        <v>1</v>
      </c>
      <c r="AR72" s="27">
        <f ca="1" t="shared" si="6"/>
        <v>0</v>
      </c>
      <c r="AS72" s="27">
        <f ca="1">IF(AS71&gt;0,_xlfn.BINOM.INV(AS71,1-p_die,RAND()),0)+(AR71-AR72)</f>
        <v>0</v>
      </c>
      <c r="AT72" s="27">
        <f ca="1" t="shared" si="7"/>
        <v>100</v>
      </c>
      <c r="AU72" s="25"/>
      <c r="BA72">
        <v>71</v>
      </c>
      <c r="BB72" s="28">
        <v>1</v>
      </c>
      <c r="BC72" s="28">
        <v>0</v>
      </c>
      <c r="BD72" s="29">
        <v>0.98</v>
      </c>
      <c r="BE72" s="30">
        <v>18340</v>
      </c>
    </row>
    <row r="73" spans="15:57">
      <c r="O73" s="25">
        <v>72</v>
      </c>
      <c r="P73" s="26">
        <f ca="1">(1-p_encounter*p_infected)^R73</f>
        <v>1</v>
      </c>
      <c r="Q73" s="27">
        <f ca="1" t="shared" si="4"/>
        <v>0</v>
      </c>
      <c r="R73" s="27">
        <f ca="1">IF(R72&gt;0,_xlfn.BINOM.INV(R72,1-p_die,RAND()),0)+(Q72-Q73)</f>
        <v>0</v>
      </c>
      <c r="S73" s="27">
        <f ca="1" t="shared" si="5"/>
        <v>100</v>
      </c>
      <c r="Z73" s="20">
        <v>72</v>
      </c>
      <c r="AA73" s="28">
        <v>1</v>
      </c>
      <c r="AB73" s="28">
        <v>1</v>
      </c>
      <c r="AC73" s="29">
        <v>1</v>
      </c>
      <c r="AD73" s="30">
        <v>13630</v>
      </c>
      <c r="AP73">
        <v>72</v>
      </c>
      <c r="AQ73" s="26">
        <f ca="1">(1-p_encounter_protection*p_infected_protection)^AS73</f>
        <v>1</v>
      </c>
      <c r="AR73" s="27">
        <f ca="1" t="shared" si="6"/>
        <v>0</v>
      </c>
      <c r="AS73" s="27">
        <f ca="1">IF(AS72&gt;0,_xlfn.BINOM.INV(AS72,1-p_die,RAND()),0)+(AR72-AR73)</f>
        <v>0</v>
      </c>
      <c r="AT73" s="27">
        <f ca="1" t="shared" si="7"/>
        <v>100</v>
      </c>
      <c r="AU73" s="25"/>
      <c r="BA73">
        <v>72</v>
      </c>
      <c r="BB73" s="28">
        <v>1</v>
      </c>
      <c r="BC73" s="28">
        <v>0</v>
      </c>
      <c r="BD73" s="29">
        <v>0.99</v>
      </c>
      <c r="BE73" s="30">
        <v>15510</v>
      </c>
    </row>
    <row r="74" spans="1:57">
      <c r="A74" s="37" t="s">
        <v>119</v>
      </c>
      <c r="B74" s="37"/>
      <c r="C74" s="37"/>
      <c r="D74" s="37"/>
      <c r="E74" s="37"/>
      <c r="F74" s="37"/>
      <c r="G74" s="37"/>
      <c r="H74" s="37"/>
      <c r="O74" s="25">
        <v>73</v>
      </c>
      <c r="P74" s="26">
        <f ca="1">(1-p_encounter*p_infected)^R74</f>
        <v>1</v>
      </c>
      <c r="Q74" s="27">
        <f ca="1" t="shared" si="4"/>
        <v>0</v>
      </c>
      <c r="R74" s="27">
        <f ca="1">IF(R73&gt;0,_xlfn.BINOM.INV(R73,1-p_die,RAND()),0)+(Q73-Q74)</f>
        <v>0</v>
      </c>
      <c r="S74" s="27">
        <f ca="1" t="shared" si="5"/>
        <v>100</v>
      </c>
      <c r="Z74" s="20">
        <v>73</v>
      </c>
      <c r="AA74" s="28">
        <v>1</v>
      </c>
      <c r="AB74" s="28">
        <v>1</v>
      </c>
      <c r="AC74" s="29">
        <v>1</v>
      </c>
      <c r="AD74" s="30">
        <v>11790</v>
      </c>
      <c r="AP74">
        <v>73</v>
      </c>
      <c r="AQ74" s="26">
        <f ca="1">(1-p_encounter_protection*p_infected_protection)^AS74</f>
        <v>1</v>
      </c>
      <c r="AR74" s="27">
        <f ca="1" t="shared" si="6"/>
        <v>0</v>
      </c>
      <c r="AS74" s="27">
        <f ca="1">IF(AS73&gt;0,_xlfn.BINOM.INV(AS73,1-p_die,RAND()),0)+(AR73-AR74)</f>
        <v>0</v>
      </c>
      <c r="AT74" s="27">
        <f ca="1" t="shared" si="7"/>
        <v>100</v>
      </c>
      <c r="AU74" s="25"/>
      <c r="BA74">
        <v>73</v>
      </c>
      <c r="BB74" s="28">
        <v>1</v>
      </c>
      <c r="BC74" s="28">
        <v>0</v>
      </c>
      <c r="BD74" s="29">
        <v>0.98</v>
      </c>
      <c r="BE74" s="30">
        <v>17350</v>
      </c>
    </row>
    <row r="75" spans="1:57">
      <c r="A75" s="37"/>
      <c r="B75" s="37"/>
      <c r="C75" s="37"/>
      <c r="D75" s="37"/>
      <c r="E75" s="37"/>
      <c r="F75" s="37"/>
      <c r="G75" s="37"/>
      <c r="H75" s="37"/>
      <c r="O75" s="25">
        <v>74</v>
      </c>
      <c r="P75" s="26">
        <f ca="1">(1-p_encounter*p_infected)^R75</f>
        <v>1</v>
      </c>
      <c r="Q75" s="27">
        <f ca="1" t="shared" si="4"/>
        <v>0</v>
      </c>
      <c r="R75" s="27">
        <f ca="1">IF(R74&gt;0,_xlfn.BINOM.INV(R74,1-p_die,RAND()),0)+(Q74-Q75)</f>
        <v>0</v>
      </c>
      <c r="S75" s="27">
        <f ca="1" t="shared" si="5"/>
        <v>100</v>
      </c>
      <c r="Z75" s="20">
        <v>74</v>
      </c>
      <c r="AA75" s="28">
        <v>1</v>
      </c>
      <c r="AB75" s="28">
        <v>1</v>
      </c>
      <c r="AC75" s="29">
        <v>1</v>
      </c>
      <c r="AD75" s="30">
        <v>10870</v>
      </c>
      <c r="AP75">
        <v>74</v>
      </c>
      <c r="AQ75" s="26">
        <f ca="1">(1-p_encounter_protection*p_infected_protection)^AS75</f>
        <v>1</v>
      </c>
      <c r="AR75" s="27">
        <f ca="1" t="shared" si="6"/>
        <v>0</v>
      </c>
      <c r="AS75" s="27">
        <f ca="1">IF(AS74&gt;0,_xlfn.BINOM.INV(AS74,1-p_die,RAND()),0)+(AR74-AR75)</f>
        <v>0</v>
      </c>
      <c r="AT75" s="27">
        <f ca="1" t="shared" si="7"/>
        <v>100</v>
      </c>
      <c r="AU75" s="25"/>
      <c r="BA75">
        <v>74</v>
      </c>
      <c r="BB75" s="28">
        <v>1</v>
      </c>
      <c r="BC75" s="28">
        <v>0</v>
      </c>
      <c r="BD75" s="29">
        <v>0.97</v>
      </c>
      <c r="BE75" s="30">
        <v>16770</v>
      </c>
    </row>
    <row r="76" spans="1:57">
      <c r="A76" s="37"/>
      <c r="B76" s="37"/>
      <c r="C76" s="37"/>
      <c r="D76" s="37"/>
      <c r="E76" s="37"/>
      <c r="F76" s="37"/>
      <c r="G76" s="37"/>
      <c r="H76" s="37"/>
      <c r="O76" s="25">
        <v>75</v>
      </c>
      <c r="P76" s="26">
        <f ca="1">(1-p_encounter*p_infected)^R76</f>
        <v>1</v>
      </c>
      <c r="Q76" s="27">
        <f ca="1" t="shared" si="4"/>
        <v>0</v>
      </c>
      <c r="R76" s="27">
        <f ca="1">IF(R75&gt;0,_xlfn.BINOM.INV(R75,1-p_die,RAND()),0)+(Q75-Q76)</f>
        <v>0</v>
      </c>
      <c r="S76" s="27">
        <f ca="1" t="shared" si="5"/>
        <v>100</v>
      </c>
      <c r="Z76" s="20">
        <v>75</v>
      </c>
      <c r="AA76" s="28">
        <v>1</v>
      </c>
      <c r="AB76" s="28">
        <v>1</v>
      </c>
      <c r="AC76" s="29">
        <v>1</v>
      </c>
      <c r="AD76" s="30">
        <v>14390</v>
      </c>
      <c r="AP76">
        <v>75</v>
      </c>
      <c r="AQ76" s="26">
        <f ca="1">(1-p_encounter_protection*p_infected_protection)^AS76</f>
        <v>1</v>
      </c>
      <c r="AR76" s="27">
        <f ca="1" t="shared" si="6"/>
        <v>0</v>
      </c>
      <c r="AS76" s="27">
        <f ca="1">IF(AS75&gt;0,_xlfn.BINOM.INV(AS75,1-p_die,RAND()),0)+(AR75-AR76)</f>
        <v>0</v>
      </c>
      <c r="AT76" s="27">
        <f ca="1" t="shared" si="7"/>
        <v>100</v>
      </c>
      <c r="AU76" s="25"/>
      <c r="BA76">
        <v>75</v>
      </c>
      <c r="BB76" s="28">
        <v>1</v>
      </c>
      <c r="BC76" s="28">
        <v>1</v>
      </c>
      <c r="BD76" s="29">
        <v>1</v>
      </c>
      <c r="BE76" s="30">
        <v>18700</v>
      </c>
    </row>
    <row r="77" spans="1:57">
      <c r="A77" s="37"/>
      <c r="B77" s="37"/>
      <c r="C77" s="37"/>
      <c r="D77" s="37"/>
      <c r="E77" s="37"/>
      <c r="F77" s="37"/>
      <c r="G77" s="37"/>
      <c r="H77" s="37"/>
      <c r="O77" s="25">
        <v>76</v>
      </c>
      <c r="P77" s="26">
        <f ca="1">(1-p_encounter*p_infected)^R77</f>
        <v>1</v>
      </c>
      <c r="Q77" s="27">
        <f ca="1" t="shared" si="4"/>
        <v>0</v>
      </c>
      <c r="R77" s="27">
        <f ca="1">IF(R76&gt;0,_xlfn.BINOM.INV(R76,1-p_die,RAND()),0)+(Q76-Q77)</f>
        <v>0</v>
      </c>
      <c r="S77" s="27">
        <f ca="1" t="shared" si="5"/>
        <v>100</v>
      </c>
      <c r="Z77" s="20">
        <v>76</v>
      </c>
      <c r="AA77" s="28">
        <v>1</v>
      </c>
      <c r="AB77" s="28">
        <v>1</v>
      </c>
      <c r="AC77" s="29">
        <v>1</v>
      </c>
      <c r="AD77" s="30">
        <v>13220</v>
      </c>
      <c r="AP77">
        <v>76</v>
      </c>
      <c r="AQ77" s="26">
        <f ca="1">(1-p_encounter_protection*p_infected_protection)^AS77</f>
        <v>1</v>
      </c>
      <c r="AR77" s="27">
        <f ca="1" t="shared" si="6"/>
        <v>0</v>
      </c>
      <c r="AS77" s="27">
        <f ca="1">IF(AS76&gt;0,_xlfn.BINOM.INV(AS76,1-p_die,RAND()),0)+(AR76-AR77)</f>
        <v>0</v>
      </c>
      <c r="AT77" s="27">
        <f ca="1" t="shared" si="7"/>
        <v>100</v>
      </c>
      <c r="AU77" s="25"/>
      <c r="BA77">
        <v>76</v>
      </c>
      <c r="BB77" s="28">
        <v>1</v>
      </c>
      <c r="BC77" s="28">
        <v>1</v>
      </c>
      <c r="BD77" s="29">
        <v>1</v>
      </c>
      <c r="BE77" s="30">
        <v>15740</v>
      </c>
    </row>
    <row r="78" spans="1:57">
      <c r="A78" s="37"/>
      <c r="B78" s="37"/>
      <c r="C78" s="37"/>
      <c r="D78" s="37"/>
      <c r="E78" s="37"/>
      <c r="F78" s="37"/>
      <c r="G78" s="37"/>
      <c r="H78" s="37"/>
      <c r="O78" s="25">
        <v>77</v>
      </c>
      <c r="P78" s="26">
        <f ca="1">(1-p_encounter*p_infected)^R78</f>
        <v>1</v>
      </c>
      <c r="Q78" s="27">
        <f ca="1" t="shared" si="4"/>
        <v>0</v>
      </c>
      <c r="R78" s="27">
        <f ca="1">IF(R77&gt;0,_xlfn.BINOM.INV(R77,1-p_die,RAND()),0)+(Q77-Q78)</f>
        <v>0</v>
      </c>
      <c r="S78" s="27">
        <f ca="1" t="shared" si="5"/>
        <v>100</v>
      </c>
      <c r="Z78" s="20">
        <v>77</v>
      </c>
      <c r="AA78" s="28">
        <v>1</v>
      </c>
      <c r="AB78" s="28">
        <v>1</v>
      </c>
      <c r="AC78" s="29">
        <v>1</v>
      </c>
      <c r="AD78" s="30">
        <v>12910</v>
      </c>
      <c r="AP78">
        <v>77</v>
      </c>
      <c r="AQ78" s="26">
        <f ca="1">(1-p_encounter_protection*p_infected_protection)^AS78</f>
        <v>1</v>
      </c>
      <c r="AR78" s="27">
        <f ca="1" t="shared" si="6"/>
        <v>0</v>
      </c>
      <c r="AS78" s="27">
        <f ca="1">IF(AS77&gt;0,_xlfn.BINOM.INV(AS77,1-p_die,RAND()),0)+(AR77-AR78)</f>
        <v>0</v>
      </c>
      <c r="AT78" s="27">
        <f ca="1" t="shared" si="7"/>
        <v>100</v>
      </c>
      <c r="AU78" s="25"/>
      <c r="BA78">
        <v>77</v>
      </c>
      <c r="BB78" s="28">
        <v>1</v>
      </c>
      <c r="BC78" s="28">
        <v>1</v>
      </c>
      <c r="BD78" s="29">
        <v>1</v>
      </c>
      <c r="BE78" s="30">
        <v>15540</v>
      </c>
    </row>
    <row r="79" spans="15:57">
      <c r="O79" s="25">
        <v>78</v>
      </c>
      <c r="P79" s="26">
        <f ca="1">(1-p_encounter*p_infected)^R79</f>
        <v>1</v>
      </c>
      <c r="Q79" s="27">
        <f ca="1" t="shared" si="4"/>
        <v>0</v>
      </c>
      <c r="R79" s="27">
        <f ca="1">IF(R78&gt;0,_xlfn.BINOM.INV(R78,1-p_die,RAND()),0)+(Q78-Q79)</f>
        <v>0</v>
      </c>
      <c r="S79" s="27">
        <f ca="1" t="shared" si="5"/>
        <v>100</v>
      </c>
      <c r="Z79" s="20">
        <v>78</v>
      </c>
      <c r="AA79" s="28">
        <v>1</v>
      </c>
      <c r="AB79" s="28">
        <v>1</v>
      </c>
      <c r="AC79" s="29">
        <v>1</v>
      </c>
      <c r="AD79" s="30">
        <v>12670</v>
      </c>
      <c r="AP79">
        <v>78</v>
      </c>
      <c r="AQ79" s="26">
        <f ca="1">(1-p_encounter_protection*p_infected_protection)^AS79</f>
        <v>1</v>
      </c>
      <c r="AR79" s="27">
        <f ca="1" t="shared" si="6"/>
        <v>0</v>
      </c>
      <c r="AS79" s="27">
        <f ca="1">IF(AS78&gt;0,_xlfn.BINOM.INV(AS78,1-p_die,RAND()),0)+(AR78-AR79)</f>
        <v>0</v>
      </c>
      <c r="AT79" s="27">
        <f ca="1" t="shared" si="7"/>
        <v>100</v>
      </c>
      <c r="AU79" s="25"/>
      <c r="BA79">
        <v>78</v>
      </c>
      <c r="BB79" s="28">
        <v>1</v>
      </c>
      <c r="BC79" s="28">
        <v>1</v>
      </c>
      <c r="BD79" s="29">
        <v>1</v>
      </c>
      <c r="BE79" s="30">
        <v>15110</v>
      </c>
    </row>
    <row r="80" spans="15:57">
      <c r="O80" s="25">
        <v>79</v>
      </c>
      <c r="P80" s="26">
        <f ca="1">(1-p_encounter*p_infected)^R80</f>
        <v>1</v>
      </c>
      <c r="Q80" s="27">
        <f ca="1" t="shared" si="4"/>
        <v>0</v>
      </c>
      <c r="R80" s="27">
        <f ca="1">IF(R79&gt;0,_xlfn.BINOM.INV(R79,1-p_die,RAND()),0)+(Q79-Q80)</f>
        <v>0</v>
      </c>
      <c r="S80" s="27">
        <f ca="1" t="shared" si="5"/>
        <v>100</v>
      </c>
      <c r="Z80" s="20">
        <v>79</v>
      </c>
      <c r="AA80" s="28">
        <v>1</v>
      </c>
      <c r="AB80" s="28">
        <v>1</v>
      </c>
      <c r="AC80" s="29">
        <v>1</v>
      </c>
      <c r="AD80" s="30">
        <v>12690</v>
      </c>
      <c r="AP80">
        <v>79</v>
      </c>
      <c r="AQ80" s="26">
        <f ca="1">(1-p_encounter_protection*p_infected_protection)^AS80</f>
        <v>1</v>
      </c>
      <c r="AR80" s="27">
        <f ca="1" t="shared" si="6"/>
        <v>0</v>
      </c>
      <c r="AS80" s="27">
        <f ca="1">IF(AS79&gt;0,_xlfn.BINOM.INV(AS79,1-p_die,RAND()),0)+(AR79-AR80)</f>
        <v>0</v>
      </c>
      <c r="AT80" s="27">
        <f ca="1" t="shared" si="7"/>
        <v>100</v>
      </c>
      <c r="AU80" s="25"/>
      <c r="BA80">
        <v>79</v>
      </c>
      <c r="BB80" s="28">
        <v>1</v>
      </c>
      <c r="BC80" s="28">
        <v>1</v>
      </c>
      <c r="BD80" s="29">
        <v>1</v>
      </c>
      <c r="BE80" s="30">
        <v>19070</v>
      </c>
    </row>
    <row r="81" spans="15:57">
      <c r="O81" s="25">
        <v>80</v>
      </c>
      <c r="P81" s="26">
        <f ca="1">(1-p_encounter*p_infected)^R81</f>
        <v>1</v>
      </c>
      <c r="Q81" s="27">
        <f ca="1" t="shared" si="4"/>
        <v>0</v>
      </c>
      <c r="R81" s="27">
        <f ca="1">IF(R80&gt;0,_xlfn.BINOM.INV(R80,1-p_die,RAND()),0)+(Q80-Q81)</f>
        <v>0</v>
      </c>
      <c r="S81" s="27">
        <f ca="1" t="shared" si="5"/>
        <v>100</v>
      </c>
      <c r="Z81" s="20">
        <v>80</v>
      </c>
      <c r="AA81" s="28">
        <v>1</v>
      </c>
      <c r="AB81" s="28">
        <v>1</v>
      </c>
      <c r="AC81" s="29">
        <v>1</v>
      </c>
      <c r="AD81" s="30">
        <v>13380</v>
      </c>
      <c r="AP81">
        <v>80</v>
      </c>
      <c r="AQ81" s="26">
        <f ca="1">(1-p_encounter_protection*p_infected_protection)^AS81</f>
        <v>1</v>
      </c>
      <c r="AR81" s="27">
        <f ca="1" t="shared" si="6"/>
        <v>0</v>
      </c>
      <c r="AS81" s="27">
        <f ca="1">IF(AS80&gt;0,_xlfn.BINOM.INV(AS80,1-p_die,RAND()),0)+(AR80-AR81)</f>
        <v>0</v>
      </c>
      <c r="AT81" s="27">
        <f ca="1" t="shared" si="7"/>
        <v>100</v>
      </c>
      <c r="AU81" s="25"/>
      <c r="BA81">
        <v>80</v>
      </c>
      <c r="BB81" s="28">
        <v>1</v>
      </c>
      <c r="BC81" s="28">
        <v>1</v>
      </c>
      <c r="BD81" s="29">
        <v>1</v>
      </c>
      <c r="BE81" s="30">
        <v>17340</v>
      </c>
    </row>
    <row r="82" spans="15:57">
      <c r="O82" s="25">
        <v>81</v>
      </c>
      <c r="P82" s="26">
        <f ca="1">(1-p_encounter*p_infected)^R82</f>
        <v>1</v>
      </c>
      <c r="Q82" s="27">
        <f ca="1" t="shared" si="4"/>
        <v>0</v>
      </c>
      <c r="R82" s="27">
        <f ca="1">IF(R81&gt;0,_xlfn.BINOM.INV(R81,1-p_die,RAND()),0)+(Q81-Q82)</f>
        <v>0</v>
      </c>
      <c r="S82" s="27">
        <f ca="1" t="shared" si="5"/>
        <v>100</v>
      </c>
      <c r="Z82" s="20">
        <v>81</v>
      </c>
      <c r="AA82" s="28">
        <v>1</v>
      </c>
      <c r="AB82" s="28">
        <v>1</v>
      </c>
      <c r="AC82" s="29">
        <v>1</v>
      </c>
      <c r="AD82" s="30">
        <v>11570</v>
      </c>
      <c r="AP82">
        <v>81</v>
      </c>
      <c r="AQ82" s="26">
        <f ca="1">(1-p_encounter_protection*p_infected_protection)^AS82</f>
        <v>1</v>
      </c>
      <c r="AR82" s="27">
        <f ca="1" t="shared" si="6"/>
        <v>0</v>
      </c>
      <c r="AS82" s="27">
        <f ca="1">IF(AS81&gt;0,_xlfn.BINOM.INV(AS81,1-p_die,RAND()),0)+(AR81-AR82)</f>
        <v>0</v>
      </c>
      <c r="AT82" s="27">
        <f ca="1" t="shared" si="7"/>
        <v>100</v>
      </c>
      <c r="AU82" s="25"/>
      <c r="BA82">
        <v>81</v>
      </c>
      <c r="BB82" s="28">
        <v>1</v>
      </c>
      <c r="BC82" s="28">
        <v>0</v>
      </c>
      <c r="BD82" s="29">
        <v>0.99</v>
      </c>
      <c r="BE82" s="30">
        <v>17870</v>
      </c>
    </row>
    <row r="83" spans="15:57">
      <c r="O83" s="25">
        <v>82</v>
      </c>
      <c r="P83" s="26">
        <f ca="1">(1-p_encounter*p_infected)^R83</f>
        <v>1</v>
      </c>
      <c r="Q83" s="27">
        <f ca="1" t="shared" si="4"/>
        <v>0</v>
      </c>
      <c r="R83" s="27">
        <f ca="1">IF(R82&gt;0,_xlfn.BINOM.INV(R82,1-p_die,RAND()),0)+(Q82-Q83)</f>
        <v>0</v>
      </c>
      <c r="S83" s="27">
        <f ca="1" t="shared" si="5"/>
        <v>100</v>
      </c>
      <c r="Z83" s="20">
        <v>82</v>
      </c>
      <c r="AA83" s="28">
        <v>1</v>
      </c>
      <c r="AB83" s="28">
        <v>1</v>
      </c>
      <c r="AC83" s="29">
        <v>1</v>
      </c>
      <c r="AD83" s="30">
        <v>13500</v>
      </c>
      <c r="AP83">
        <v>82</v>
      </c>
      <c r="AQ83" s="26">
        <f ca="1">(1-p_encounter_protection*p_infected_protection)^AS83</f>
        <v>1</v>
      </c>
      <c r="AR83" s="27">
        <f ca="1" t="shared" si="6"/>
        <v>0</v>
      </c>
      <c r="AS83" s="27">
        <f ca="1">IF(AS82&gt;0,_xlfn.BINOM.INV(AS82,1-p_die,RAND()),0)+(AR82-AR83)</f>
        <v>0</v>
      </c>
      <c r="AT83" s="27">
        <f ca="1" t="shared" si="7"/>
        <v>100</v>
      </c>
      <c r="AU83" s="25"/>
      <c r="BA83">
        <v>82</v>
      </c>
      <c r="BB83" s="28">
        <v>1</v>
      </c>
      <c r="BC83" s="28">
        <v>1</v>
      </c>
      <c r="BD83" s="29">
        <v>1</v>
      </c>
      <c r="BE83" s="30">
        <v>15740</v>
      </c>
    </row>
    <row r="84" spans="15:57">
      <c r="O84" s="25">
        <v>83</v>
      </c>
      <c r="P84" s="26">
        <f ca="1">(1-p_encounter*p_infected)^R84</f>
        <v>1</v>
      </c>
      <c r="Q84" s="27">
        <f ca="1" t="shared" si="4"/>
        <v>0</v>
      </c>
      <c r="R84" s="27">
        <f ca="1">IF(R83&gt;0,_xlfn.BINOM.INV(R83,1-p_die,RAND()),0)+(Q83-Q84)</f>
        <v>0</v>
      </c>
      <c r="S84" s="27">
        <f ca="1" t="shared" si="5"/>
        <v>100</v>
      </c>
      <c r="Z84" s="20">
        <v>83</v>
      </c>
      <c r="AA84" s="28">
        <v>1</v>
      </c>
      <c r="AB84" s="28">
        <v>1</v>
      </c>
      <c r="AC84" s="29">
        <v>1</v>
      </c>
      <c r="AD84" s="30">
        <v>12110</v>
      </c>
      <c r="AP84">
        <v>83</v>
      </c>
      <c r="AQ84" s="26">
        <f ca="1">(1-p_encounter_protection*p_infected_protection)^AS84</f>
        <v>1</v>
      </c>
      <c r="AR84" s="27">
        <f ca="1" t="shared" si="6"/>
        <v>0</v>
      </c>
      <c r="AS84" s="27">
        <f ca="1">IF(AS83&gt;0,_xlfn.BINOM.INV(AS83,1-p_die,RAND()),0)+(AR83-AR84)</f>
        <v>0</v>
      </c>
      <c r="AT84" s="27">
        <f ca="1" t="shared" si="7"/>
        <v>100</v>
      </c>
      <c r="AU84" s="25"/>
      <c r="BA84">
        <v>83</v>
      </c>
      <c r="BB84" s="28">
        <v>1</v>
      </c>
      <c r="BC84" s="28">
        <v>1</v>
      </c>
      <c r="BD84" s="29">
        <v>1</v>
      </c>
      <c r="BE84" s="30">
        <v>15920</v>
      </c>
    </row>
    <row r="85" spans="15:57">
      <c r="O85" s="25">
        <v>84</v>
      </c>
      <c r="P85" s="26">
        <f ca="1">(1-p_encounter*p_infected)^R85</f>
        <v>1</v>
      </c>
      <c r="Q85" s="27">
        <f ca="1" t="shared" si="4"/>
        <v>0</v>
      </c>
      <c r="R85" s="27">
        <f ca="1">IF(R84&gt;0,_xlfn.BINOM.INV(R84,1-p_die,RAND()),0)+(Q84-Q85)</f>
        <v>0</v>
      </c>
      <c r="S85" s="27">
        <f ca="1" t="shared" si="5"/>
        <v>100</v>
      </c>
      <c r="Z85" s="20">
        <v>84</v>
      </c>
      <c r="AA85" s="28">
        <v>1</v>
      </c>
      <c r="AB85" s="28">
        <v>1</v>
      </c>
      <c r="AC85" s="29">
        <v>1</v>
      </c>
      <c r="AD85" s="30">
        <v>12010</v>
      </c>
      <c r="AP85">
        <v>84</v>
      </c>
      <c r="AQ85" s="26">
        <f ca="1">(1-p_encounter_protection*p_infected_protection)^AS85</f>
        <v>1</v>
      </c>
      <c r="AR85" s="27">
        <f ca="1" t="shared" si="6"/>
        <v>0</v>
      </c>
      <c r="AS85" s="27">
        <f ca="1">IF(AS84&gt;0,_xlfn.BINOM.INV(AS84,1-p_die,RAND()),0)+(AR84-AR85)</f>
        <v>0</v>
      </c>
      <c r="AT85" s="27">
        <f ca="1" t="shared" si="7"/>
        <v>100</v>
      </c>
      <c r="AU85" s="25"/>
      <c r="BA85">
        <v>84</v>
      </c>
      <c r="BB85" s="28">
        <v>1</v>
      </c>
      <c r="BC85" s="28">
        <v>1</v>
      </c>
      <c r="BD85" s="29">
        <v>1</v>
      </c>
      <c r="BE85" s="30">
        <v>18540</v>
      </c>
    </row>
    <row r="86" spans="15:57">
      <c r="O86" s="25">
        <v>85</v>
      </c>
      <c r="P86" s="26">
        <f ca="1">(1-p_encounter*p_infected)^R86</f>
        <v>1</v>
      </c>
      <c r="Q86" s="27">
        <f ca="1" t="shared" si="4"/>
        <v>0</v>
      </c>
      <c r="R86" s="27">
        <f ca="1">IF(R85&gt;0,_xlfn.BINOM.INV(R85,1-p_die,RAND()),0)+(Q85-Q86)</f>
        <v>0</v>
      </c>
      <c r="S86" s="27">
        <f ca="1" t="shared" si="5"/>
        <v>100</v>
      </c>
      <c r="Z86" s="20">
        <v>85</v>
      </c>
      <c r="AA86" s="28">
        <v>1</v>
      </c>
      <c r="AB86" s="28">
        <v>1</v>
      </c>
      <c r="AC86" s="29">
        <v>1</v>
      </c>
      <c r="AD86" s="30">
        <v>13250</v>
      </c>
      <c r="AP86">
        <v>85</v>
      </c>
      <c r="AQ86" s="26">
        <f ca="1">(1-p_encounter_protection*p_infected_protection)^AS86</f>
        <v>1</v>
      </c>
      <c r="AR86" s="27">
        <f ca="1" t="shared" si="6"/>
        <v>0</v>
      </c>
      <c r="AS86" s="27">
        <f ca="1">IF(AS85&gt;0,_xlfn.BINOM.INV(AS85,1-p_die,RAND()),0)+(AR85-AR86)</f>
        <v>0</v>
      </c>
      <c r="AT86" s="27">
        <f ca="1" t="shared" si="7"/>
        <v>100</v>
      </c>
      <c r="AU86" s="25"/>
      <c r="BA86">
        <v>85</v>
      </c>
      <c r="BB86" s="28">
        <v>1</v>
      </c>
      <c r="BC86" s="28">
        <v>0</v>
      </c>
      <c r="BD86" s="29">
        <v>0.98</v>
      </c>
      <c r="BE86" s="30">
        <v>16740</v>
      </c>
    </row>
    <row r="87" spans="15:57">
      <c r="O87" s="25">
        <v>86</v>
      </c>
      <c r="P87" s="26">
        <f ca="1">(1-p_encounter*p_infected)^R87</f>
        <v>1</v>
      </c>
      <c r="Q87" s="27">
        <f ca="1" t="shared" si="4"/>
        <v>0</v>
      </c>
      <c r="R87" s="27">
        <f ca="1">IF(R86&gt;0,_xlfn.BINOM.INV(R86,1-p_die,RAND()),0)+(Q86-Q87)</f>
        <v>0</v>
      </c>
      <c r="S87" s="27">
        <f ca="1" t="shared" si="5"/>
        <v>100</v>
      </c>
      <c r="Z87" s="20">
        <v>86</v>
      </c>
      <c r="AA87" s="28">
        <v>1</v>
      </c>
      <c r="AB87" s="28">
        <v>1</v>
      </c>
      <c r="AC87" s="29">
        <v>1</v>
      </c>
      <c r="AD87" s="30">
        <v>13140</v>
      </c>
      <c r="AP87">
        <v>86</v>
      </c>
      <c r="AQ87" s="26">
        <f ca="1">(1-p_encounter_protection*p_infected_protection)^AS87</f>
        <v>1</v>
      </c>
      <c r="AR87" s="27">
        <f ca="1" t="shared" si="6"/>
        <v>0</v>
      </c>
      <c r="AS87" s="27">
        <f ca="1">IF(AS86&gt;0,_xlfn.BINOM.INV(AS86,1-p_die,RAND()),0)+(AR86-AR87)</f>
        <v>0</v>
      </c>
      <c r="AT87" s="27">
        <f ca="1" t="shared" si="7"/>
        <v>100</v>
      </c>
      <c r="AU87" s="25"/>
      <c r="BA87">
        <v>86</v>
      </c>
      <c r="BB87" s="28">
        <v>1</v>
      </c>
      <c r="BC87" s="28">
        <v>1</v>
      </c>
      <c r="BD87" s="29">
        <v>1</v>
      </c>
      <c r="BE87" s="30">
        <v>18500</v>
      </c>
    </row>
    <row r="88" spans="15:57">
      <c r="O88" s="25">
        <v>87</v>
      </c>
      <c r="P88" s="26">
        <f ca="1">(1-p_encounter*p_infected)^R88</f>
        <v>1</v>
      </c>
      <c r="Q88" s="27">
        <f ca="1" t="shared" si="4"/>
        <v>0</v>
      </c>
      <c r="R88" s="27">
        <f ca="1">IF(R87&gt;0,_xlfn.BINOM.INV(R87,1-p_die,RAND()),0)+(Q87-Q88)</f>
        <v>0</v>
      </c>
      <c r="S88" s="27">
        <f ca="1" t="shared" si="5"/>
        <v>100</v>
      </c>
      <c r="Z88" s="20">
        <v>87</v>
      </c>
      <c r="AA88" s="28">
        <v>1</v>
      </c>
      <c r="AB88" s="28">
        <v>1</v>
      </c>
      <c r="AC88" s="29">
        <v>1</v>
      </c>
      <c r="AD88" s="30">
        <v>10990</v>
      </c>
      <c r="AP88">
        <v>87</v>
      </c>
      <c r="AQ88" s="26">
        <f ca="1">(1-p_encounter_protection*p_infected_protection)^AS88</f>
        <v>1</v>
      </c>
      <c r="AR88" s="27">
        <f ca="1" t="shared" si="6"/>
        <v>0</v>
      </c>
      <c r="AS88" s="27">
        <f ca="1">IF(AS87&gt;0,_xlfn.BINOM.INV(AS87,1-p_die,RAND()),0)+(AR87-AR88)</f>
        <v>0</v>
      </c>
      <c r="AT88" s="27">
        <f ca="1" t="shared" si="7"/>
        <v>100</v>
      </c>
      <c r="AU88" s="25"/>
      <c r="BA88">
        <v>87</v>
      </c>
      <c r="BB88" s="28">
        <v>1</v>
      </c>
      <c r="BC88" s="28">
        <v>1</v>
      </c>
      <c r="BD88" s="29">
        <v>1</v>
      </c>
      <c r="BE88" s="30">
        <v>17190</v>
      </c>
    </row>
    <row r="89" spans="15:57">
      <c r="O89" s="25">
        <v>88</v>
      </c>
      <c r="P89" s="26">
        <f ca="1">(1-p_encounter*p_infected)^R89</f>
        <v>1</v>
      </c>
      <c r="Q89" s="27">
        <f ca="1" t="shared" si="4"/>
        <v>0</v>
      </c>
      <c r="R89" s="27">
        <f ca="1">IF(R88&gt;0,_xlfn.BINOM.INV(R88,1-p_die,RAND()),0)+(Q88-Q89)</f>
        <v>0</v>
      </c>
      <c r="S89" s="27">
        <f ca="1" t="shared" si="5"/>
        <v>100</v>
      </c>
      <c r="Z89" s="20">
        <v>88</v>
      </c>
      <c r="AA89" s="28">
        <v>1</v>
      </c>
      <c r="AB89" s="28">
        <v>1</v>
      </c>
      <c r="AC89" s="29">
        <v>1</v>
      </c>
      <c r="AD89" s="30">
        <v>11440</v>
      </c>
      <c r="AP89">
        <v>88</v>
      </c>
      <c r="AQ89" s="26">
        <f ca="1">(1-p_encounter_protection*p_infected_protection)^AS89</f>
        <v>1</v>
      </c>
      <c r="AR89" s="27">
        <f ca="1" t="shared" si="6"/>
        <v>0</v>
      </c>
      <c r="AS89" s="27">
        <f ca="1">IF(AS88&gt;0,_xlfn.BINOM.INV(AS88,1-p_die,RAND()),0)+(AR88-AR89)</f>
        <v>0</v>
      </c>
      <c r="AT89" s="27">
        <f ca="1" t="shared" si="7"/>
        <v>100</v>
      </c>
      <c r="AU89" s="25"/>
      <c r="BA89">
        <v>88</v>
      </c>
      <c r="BB89" s="28">
        <v>1</v>
      </c>
      <c r="BC89" s="28">
        <v>0</v>
      </c>
      <c r="BD89" s="29">
        <v>0.98</v>
      </c>
      <c r="BE89" s="30">
        <v>15820</v>
      </c>
    </row>
    <row r="90" spans="15:57">
      <c r="O90" s="25">
        <v>89</v>
      </c>
      <c r="P90" s="26">
        <f ca="1">(1-p_encounter*p_infected)^R90</f>
        <v>1</v>
      </c>
      <c r="Q90" s="27">
        <f ca="1" t="shared" si="4"/>
        <v>0</v>
      </c>
      <c r="R90" s="27">
        <f ca="1">IF(R89&gt;0,_xlfn.BINOM.INV(R89,1-p_die,RAND()),0)+(Q89-Q90)</f>
        <v>0</v>
      </c>
      <c r="S90" s="27">
        <f ca="1" t="shared" si="5"/>
        <v>100</v>
      </c>
      <c r="Z90" s="20">
        <v>89</v>
      </c>
      <c r="AA90" s="28">
        <v>1</v>
      </c>
      <c r="AB90" s="28">
        <v>1</v>
      </c>
      <c r="AC90" s="29">
        <v>1</v>
      </c>
      <c r="AD90" s="30">
        <v>13640</v>
      </c>
      <c r="AP90">
        <v>89</v>
      </c>
      <c r="AQ90" s="26">
        <f ca="1">(1-p_encounter_protection*p_infected_protection)^AS90</f>
        <v>1</v>
      </c>
      <c r="AR90" s="27">
        <f ca="1" t="shared" si="6"/>
        <v>0</v>
      </c>
      <c r="AS90" s="27">
        <f ca="1">IF(AS89&gt;0,_xlfn.BINOM.INV(AS89,1-p_die,RAND()),0)+(AR89-AR90)</f>
        <v>0</v>
      </c>
      <c r="AT90" s="27">
        <f ca="1" t="shared" si="7"/>
        <v>100</v>
      </c>
      <c r="AU90" s="25"/>
      <c r="BA90">
        <v>89</v>
      </c>
      <c r="BB90" s="28">
        <v>1</v>
      </c>
      <c r="BC90" s="28">
        <v>0</v>
      </c>
      <c r="BD90" s="29">
        <v>0.99</v>
      </c>
      <c r="BE90" s="30">
        <v>18370</v>
      </c>
    </row>
    <row r="91" spans="15:57">
      <c r="O91" s="25">
        <v>90</v>
      </c>
      <c r="P91" s="26">
        <f ca="1">(1-p_encounter*p_infected)^R91</f>
        <v>1</v>
      </c>
      <c r="Q91" s="27">
        <f ca="1" t="shared" si="4"/>
        <v>0</v>
      </c>
      <c r="R91" s="27">
        <f ca="1">IF(R90&gt;0,_xlfn.BINOM.INV(R90,1-p_die,RAND()),0)+(Q90-Q91)</f>
        <v>0</v>
      </c>
      <c r="S91" s="27">
        <f ca="1" t="shared" si="5"/>
        <v>100</v>
      </c>
      <c r="Z91" s="20">
        <v>90</v>
      </c>
      <c r="AA91" s="28">
        <v>1</v>
      </c>
      <c r="AB91" s="28">
        <v>1</v>
      </c>
      <c r="AC91" s="29">
        <v>1</v>
      </c>
      <c r="AD91" s="30">
        <v>11040</v>
      </c>
      <c r="AP91">
        <v>90</v>
      </c>
      <c r="AQ91" s="26">
        <f ca="1">(1-p_encounter_protection*p_infected_protection)^AS91</f>
        <v>1</v>
      </c>
      <c r="AR91" s="27">
        <f ca="1" t="shared" si="6"/>
        <v>0</v>
      </c>
      <c r="AS91" s="27">
        <f ca="1">IF(AS90&gt;0,_xlfn.BINOM.INV(AS90,1-p_die,RAND()),0)+(AR90-AR91)</f>
        <v>0</v>
      </c>
      <c r="AT91" s="27">
        <f ca="1" t="shared" si="7"/>
        <v>100</v>
      </c>
      <c r="AU91" s="25"/>
      <c r="BA91">
        <v>90</v>
      </c>
      <c r="BB91" s="28">
        <v>1</v>
      </c>
      <c r="BC91" s="28">
        <v>0</v>
      </c>
      <c r="BD91" s="29">
        <v>0.99</v>
      </c>
      <c r="BE91" s="30">
        <v>16570</v>
      </c>
    </row>
    <row r="92" spans="15:57">
      <c r="O92" s="25">
        <v>91</v>
      </c>
      <c r="P92" s="26">
        <f ca="1">(1-p_encounter*p_infected)^R92</f>
        <v>1</v>
      </c>
      <c r="Q92" s="27">
        <f ca="1" t="shared" si="4"/>
        <v>0</v>
      </c>
      <c r="R92" s="27">
        <f ca="1">IF(R91&gt;0,_xlfn.BINOM.INV(R91,1-p_die,RAND()),0)+(Q91-Q92)</f>
        <v>0</v>
      </c>
      <c r="S92" s="27">
        <f ca="1" t="shared" si="5"/>
        <v>100</v>
      </c>
      <c r="Z92" s="20">
        <v>91</v>
      </c>
      <c r="AA92" s="28">
        <v>1</v>
      </c>
      <c r="AB92" s="28">
        <v>1</v>
      </c>
      <c r="AC92" s="29">
        <v>1</v>
      </c>
      <c r="AD92" s="30">
        <v>12760</v>
      </c>
      <c r="AP92">
        <v>91</v>
      </c>
      <c r="AQ92" s="26">
        <f ca="1">(1-p_encounter_protection*p_infected_protection)^AS92</f>
        <v>1</v>
      </c>
      <c r="AR92" s="27">
        <f ca="1" t="shared" si="6"/>
        <v>0</v>
      </c>
      <c r="AS92" s="27">
        <f ca="1">IF(AS91&gt;0,_xlfn.BINOM.INV(AS91,1-p_die,RAND()),0)+(AR91-AR92)</f>
        <v>0</v>
      </c>
      <c r="AT92" s="27">
        <f ca="1" t="shared" si="7"/>
        <v>100</v>
      </c>
      <c r="AU92" s="25"/>
      <c r="BA92">
        <v>91</v>
      </c>
      <c r="BB92" s="28">
        <v>1</v>
      </c>
      <c r="BC92" s="28">
        <v>0</v>
      </c>
      <c r="BD92" s="29">
        <v>0.99</v>
      </c>
      <c r="BE92" s="30">
        <v>15070</v>
      </c>
    </row>
    <row r="93" spans="15:57">
      <c r="O93" s="25">
        <v>92</v>
      </c>
      <c r="P93" s="26">
        <f ca="1">(1-p_encounter*p_infected)^R93</f>
        <v>1</v>
      </c>
      <c r="Q93" s="27">
        <f ca="1" t="shared" si="4"/>
        <v>0</v>
      </c>
      <c r="R93" s="27">
        <f ca="1">IF(R92&gt;0,_xlfn.BINOM.INV(R92,1-p_die,RAND()),0)+(Q92-Q93)</f>
        <v>0</v>
      </c>
      <c r="S93" s="27">
        <f ca="1" t="shared" si="5"/>
        <v>100</v>
      </c>
      <c r="Z93" s="20">
        <v>92</v>
      </c>
      <c r="AA93" s="28">
        <v>1</v>
      </c>
      <c r="AB93" s="28">
        <v>1</v>
      </c>
      <c r="AC93" s="29">
        <v>1</v>
      </c>
      <c r="AD93" s="30">
        <v>13420</v>
      </c>
      <c r="AP93">
        <v>92</v>
      </c>
      <c r="AQ93" s="26">
        <f ca="1">(1-p_encounter_protection*p_infected_protection)^AS93</f>
        <v>1</v>
      </c>
      <c r="AR93" s="27">
        <f ca="1" t="shared" si="6"/>
        <v>0</v>
      </c>
      <c r="AS93" s="27">
        <f ca="1">IF(AS92&gt;0,_xlfn.BINOM.INV(AS92,1-p_die,RAND()),0)+(AR92-AR93)</f>
        <v>0</v>
      </c>
      <c r="AT93" s="27">
        <f ca="1" t="shared" si="7"/>
        <v>100</v>
      </c>
      <c r="AU93" s="25"/>
      <c r="BA93">
        <v>92</v>
      </c>
      <c r="BB93" s="28">
        <v>1</v>
      </c>
      <c r="BC93" s="28">
        <v>1</v>
      </c>
      <c r="BD93" s="29">
        <v>1</v>
      </c>
      <c r="BE93" s="30">
        <v>16000</v>
      </c>
    </row>
    <row r="94" spans="15:57">
      <c r="O94" s="25">
        <v>93</v>
      </c>
      <c r="P94" s="26">
        <f ca="1">(1-p_encounter*p_infected)^R94</f>
        <v>1</v>
      </c>
      <c r="Q94" s="27">
        <f ca="1" t="shared" si="4"/>
        <v>0</v>
      </c>
      <c r="R94" s="27">
        <f ca="1">IF(R93&gt;0,_xlfn.BINOM.INV(R93,1-p_die,RAND()),0)+(Q93-Q94)</f>
        <v>0</v>
      </c>
      <c r="S94" s="27">
        <f ca="1" t="shared" si="5"/>
        <v>100</v>
      </c>
      <c r="Z94" s="20">
        <v>93</v>
      </c>
      <c r="AA94" s="28">
        <v>1</v>
      </c>
      <c r="AB94" s="28">
        <v>1</v>
      </c>
      <c r="AC94" s="29">
        <v>1</v>
      </c>
      <c r="AD94" s="30">
        <v>11370</v>
      </c>
      <c r="AP94">
        <v>93</v>
      </c>
      <c r="AQ94" s="26">
        <f ca="1">(1-p_encounter_protection*p_infected_protection)^AS94</f>
        <v>1</v>
      </c>
      <c r="AR94" s="27">
        <f ca="1" t="shared" si="6"/>
        <v>0</v>
      </c>
      <c r="AS94" s="27">
        <f ca="1">IF(AS93&gt;0,_xlfn.BINOM.INV(AS93,1-p_die,RAND()),0)+(AR93-AR94)</f>
        <v>0</v>
      </c>
      <c r="AT94" s="27">
        <f ca="1" t="shared" si="7"/>
        <v>100</v>
      </c>
      <c r="AU94" s="25"/>
      <c r="BA94">
        <v>93</v>
      </c>
      <c r="BB94" s="28">
        <v>1</v>
      </c>
      <c r="BC94" s="28">
        <v>0</v>
      </c>
      <c r="BD94" s="29">
        <v>0.99</v>
      </c>
      <c r="BE94" s="30">
        <v>17140</v>
      </c>
    </row>
    <row r="95" spans="15:57">
      <c r="O95" s="25">
        <v>94</v>
      </c>
      <c r="P95" s="26">
        <f ca="1">(1-p_encounter*p_infected)^R95</f>
        <v>1</v>
      </c>
      <c r="Q95" s="27">
        <f ca="1" t="shared" si="4"/>
        <v>0</v>
      </c>
      <c r="R95" s="27">
        <f ca="1">IF(R94&gt;0,_xlfn.BINOM.INV(R94,1-p_die,RAND()),0)+(Q94-Q95)</f>
        <v>0</v>
      </c>
      <c r="S95" s="27">
        <f ca="1" t="shared" si="5"/>
        <v>100</v>
      </c>
      <c r="Z95" s="20">
        <v>94</v>
      </c>
      <c r="AA95" s="28">
        <v>1</v>
      </c>
      <c r="AB95" s="28">
        <v>1</v>
      </c>
      <c r="AC95" s="29">
        <v>1</v>
      </c>
      <c r="AD95" s="30">
        <v>11890</v>
      </c>
      <c r="AP95">
        <v>94</v>
      </c>
      <c r="AQ95" s="26">
        <f ca="1">(1-p_encounter_protection*p_infected_protection)^AS95</f>
        <v>1</v>
      </c>
      <c r="AR95" s="27">
        <f ca="1" t="shared" si="6"/>
        <v>0</v>
      </c>
      <c r="AS95" s="27">
        <f ca="1">IF(AS94&gt;0,_xlfn.BINOM.INV(AS94,1-p_die,RAND()),0)+(AR94-AR95)</f>
        <v>0</v>
      </c>
      <c r="AT95" s="27">
        <f ca="1" t="shared" si="7"/>
        <v>100</v>
      </c>
      <c r="AU95" s="25"/>
      <c r="BA95">
        <v>94</v>
      </c>
      <c r="BB95" s="28">
        <v>1</v>
      </c>
      <c r="BC95" s="28">
        <v>1</v>
      </c>
      <c r="BD95" s="29">
        <v>1</v>
      </c>
      <c r="BE95" s="30">
        <v>17900</v>
      </c>
    </row>
    <row r="96" spans="15:57">
      <c r="O96" s="25">
        <v>95</v>
      </c>
      <c r="P96" s="26">
        <f ca="1">(1-p_encounter*p_infected)^R96</f>
        <v>1</v>
      </c>
      <c r="Q96" s="27">
        <f ca="1" t="shared" si="4"/>
        <v>0</v>
      </c>
      <c r="R96" s="27">
        <f ca="1">IF(R95&gt;0,_xlfn.BINOM.INV(R95,1-p_die,RAND()),0)+(Q95-Q96)</f>
        <v>0</v>
      </c>
      <c r="S96" s="27">
        <f ca="1" t="shared" si="5"/>
        <v>100</v>
      </c>
      <c r="Z96" s="20">
        <v>95</v>
      </c>
      <c r="AA96" s="28">
        <v>1</v>
      </c>
      <c r="AB96" s="28">
        <v>1</v>
      </c>
      <c r="AC96" s="29">
        <v>1</v>
      </c>
      <c r="AD96" s="30">
        <v>12150</v>
      </c>
      <c r="AP96">
        <v>95</v>
      </c>
      <c r="AQ96" s="26">
        <f ca="1">(1-p_encounter_protection*p_infected_protection)^AS96</f>
        <v>1</v>
      </c>
      <c r="AR96" s="27">
        <f ca="1" t="shared" si="6"/>
        <v>0</v>
      </c>
      <c r="AS96" s="27">
        <f ca="1">IF(AS95&gt;0,_xlfn.BINOM.INV(AS95,1-p_die,RAND()),0)+(AR95-AR96)</f>
        <v>0</v>
      </c>
      <c r="AT96" s="27">
        <f ca="1" t="shared" si="7"/>
        <v>100</v>
      </c>
      <c r="AU96" s="25"/>
      <c r="BA96">
        <v>95</v>
      </c>
      <c r="BB96" s="28">
        <v>1</v>
      </c>
      <c r="BC96" s="28">
        <v>0</v>
      </c>
      <c r="BD96" s="29">
        <v>0.99</v>
      </c>
      <c r="BE96" s="30">
        <v>18000</v>
      </c>
    </row>
    <row r="97" spans="15:57">
      <c r="O97" s="25">
        <v>96</v>
      </c>
      <c r="P97" s="26">
        <f ca="1">(1-p_encounter*p_infected)^R97</f>
        <v>1</v>
      </c>
      <c r="Q97" s="27">
        <f ca="1" t="shared" si="4"/>
        <v>0</v>
      </c>
      <c r="R97" s="27">
        <f ca="1">IF(R96&gt;0,_xlfn.BINOM.INV(R96,1-p_die,RAND()),0)+(Q96-Q97)</f>
        <v>0</v>
      </c>
      <c r="S97" s="27">
        <f ca="1" t="shared" si="5"/>
        <v>100</v>
      </c>
      <c r="Z97" s="20">
        <v>96</v>
      </c>
      <c r="AA97" s="28">
        <v>1</v>
      </c>
      <c r="AB97" s="28">
        <v>1</v>
      </c>
      <c r="AC97" s="29">
        <v>1</v>
      </c>
      <c r="AD97" s="30">
        <v>12660</v>
      </c>
      <c r="AP97">
        <v>96</v>
      </c>
      <c r="AQ97" s="26">
        <f ca="1">(1-p_encounter_protection*p_infected_protection)^AS97</f>
        <v>1</v>
      </c>
      <c r="AR97" s="27">
        <f ca="1" t="shared" si="6"/>
        <v>0</v>
      </c>
      <c r="AS97" s="27">
        <f ca="1">IF(AS96&gt;0,_xlfn.BINOM.INV(AS96,1-p_die,RAND()),0)+(AR96-AR97)</f>
        <v>0</v>
      </c>
      <c r="AT97" s="27">
        <f ca="1" t="shared" si="7"/>
        <v>100</v>
      </c>
      <c r="AU97" s="25"/>
      <c r="BA97">
        <v>96</v>
      </c>
      <c r="BB97" s="28">
        <v>1</v>
      </c>
      <c r="BC97" s="28">
        <v>0</v>
      </c>
      <c r="BD97" s="29">
        <v>0.99</v>
      </c>
      <c r="BE97" s="30">
        <v>16320</v>
      </c>
    </row>
    <row r="98" spans="15:57">
      <c r="O98" s="25">
        <v>97</v>
      </c>
      <c r="P98" s="26">
        <f ca="1">(1-p_encounter*p_infected)^R98</f>
        <v>1</v>
      </c>
      <c r="Q98" s="27">
        <f ca="1" t="shared" si="4"/>
        <v>0</v>
      </c>
      <c r="R98" s="27">
        <f ca="1">IF(R97&gt;0,_xlfn.BINOM.INV(R97,1-p_die,RAND()),0)+(Q97-Q98)</f>
        <v>0</v>
      </c>
      <c r="S98" s="27">
        <f ca="1" t="shared" si="5"/>
        <v>100</v>
      </c>
      <c r="Z98" s="20">
        <v>97</v>
      </c>
      <c r="AA98" s="28">
        <v>1</v>
      </c>
      <c r="AB98" s="28">
        <v>1</v>
      </c>
      <c r="AC98" s="29">
        <v>1</v>
      </c>
      <c r="AD98" s="30">
        <v>13310</v>
      </c>
      <c r="AP98">
        <v>97</v>
      </c>
      <c r="AQ98" s="26">
        <f ca="1">(1-p_encounter_protection*p_infected_protection)^AS98</f>
        <v>1</v>
      </c>
      <c r="AR98" s="27">
        <f ca="1" t="shared" si="6"/>
        <v>0</v>
      </c>
      <c r="AS98" s="27">
        <f ca="1">IF(AS97&gt;0,_xlfn.BINOM.INV(AS97,1-p_die,RAND()),0)+(AR97-AR98)</f>
        <v>0</v>
      </c>
      <c r="AT98" s="27">
        <f ca="1" t="shared" si="7"/>
        <v>100</v>
      </c>
      <c r="AU98" s="25"/>
      <c r="BA98">
        <v>97</v>
      </c>
      <c r="BB98" s="28">
        <v>1</v>
      </c>
      <c r="BC98" s="28">
        <v>0</v>
      </c>
      <c r="BD98" s="29">
        <v>0.99</v>
      </c>
      <c r="BE98" s="30">
        <v>17920</v>
      </c>
    </row>
    <row r="99" spans="15:57">
      <c r="O99" s="25">
        <v>98</v>
      </c>
      <c r="P99" s="26">
        <f ca="1">(1-p_encounter*p_infected)^R99</f>
        <v>1</v>
      </c>
      <c r="Q99" s="27">
        <f ca="1" t="shared" si="4"/>
        <v>0</v>
      </c>
      <c r="R99" s="27">
        <f ca="1">IF(R98&gt;0,_xlfn.BINOM.INV(R98,1-p_die,RAND()),0)+(Q98-Q99)</f>
        <v>0</v>
      </c>
      <c r="S99" s="27">
        <f ca="1" t="shared" si="5"/>
        <v>100</v>
      </c>
      <c r="Z99" s="20">
        <v>98</v>
      </c>
      <c r="AA99" s="28">
        <v>1</v>
      </c>
      <c r="AB99" s="28">
        <v>1</v>
      </c>
      <c r="AC99" s="29">
        <v>1</v>
      </c>
      <c r="AD99" s="30">
        <v>13240</v>
      </c>
      <c r="AP99">
        <v>98</v>
      </c>
      <c r="AQ99" s="26">
        <f ca="1">(1-p_encounter_protection*p_infected_protection)^AS99</f>
        <v>1</v>
      </c>
      <c r="AR99" s="27">
        <f ca="1" t="shared" si="6"/>
        <v>0</v>
      </c>
      <c r="AS99" s="27">
        <f ca="1">IF(AS98&gt;0,_xlfn.BINOM.INV(AS98,1-p_die,RAND()),0)+(AR98-AR99)</f>
        <v>0</v>
      </c>
      <c r="AT99" s="27">
        <f ca="1" t="shared" si="7"/>
        <v>100</v>
      </c>
      <c r="AU99" s="25"/>
      <c r="BA99">
        <v>98</v>
      </c>
      <c r="BB99" s="28">
        <v>1</v>
      </c>
      <c r="BC99" s="28">
        <v>1</v>
      </c>
      <c r="BD99" s="29">
        <v>1</v>
      </c>
      <c r="BE99" s="30">
        <v>17450</v>
      </c>
    </row>
    <row r="100" spans="15:57">
      <c r="O100" s="25">
        <v>99</v>
      </c>
      <c r="P100" s="26">
        <f ca="1">(1-p_encounter*p_infected)^R100</f>
        <v>1</v>
      </c>
      <c r="Q100" s="27">
        <f ca="1" t="shared" si="4"/>
        <v>0</v>
      </c>
      <c r="R100" s="27">
        <f ca="1">IF(R99&gt;0,_xlfn.BINOM.INV(R99,1-p_die,RAND()),0)+(Q99-Q100)</f>
        <v>0</v>
      </c>
      <c r="S100" s="27">
        <f ca="1" t="shared" si="5"/>
        <v>100</v>
      </c>
      <c r="Z100" s="20">
        <v>99</v>
      </c>
      <c r="AA100" s="28">
        <v>1</v>
      </c>
      <c r="AB100" s="28">
        <v>1</v>
      </c>
      <c r="AC100" s="29">
        <v>1</v>
      </c>
      <c r="AD100" s="30">
        <v>12240</v>
      </c>
      <c r="AP100">
        <v>99</v>
      </c>
      <c r="AQ100" s="26">
        <f ca="1">(1-p_encounter_protection*p_infected_protection)^AS100</f>
        <v>1</v>
      </c>
      <c r="AR100" s="27">
        <f ca="1" t="shared" si="6"/>
        <v>0</v>
      </c>
      <c r="AS100" s="27">
        <f ca="1">IF(AS99&gt;0,_xlfn.BINOM.INV(AS99,1-p_die,RAND()),0)+(AR99-AR100)</f>
        <v>0</v>
      </c>
      <c r="AT100" s="27">
        <f ca="1" t="shared" si="7"/>
        <v>100</v>
      </c>
      <c r="AU100" s="25"/>
      <c r="BA100">
        <v>99</v>
      </c>
      <c r="BB100" s="28">
        <v>1</v>
      </c>
      <c r="BC100" s="28">
        <v>0</v>
      </c>
      <c r="BD100" s="29">
        <v>0.99</v>
      </c>
      <c r="BE100" s="30">
        <v>17930</v>
      </c>
    </row>
    <row r="101" spans="15:57">
      <c r="O101" s="25">
        <v>100</v>
      </c>
      <c r="P101" s="26">
        <f ca="1">(1-p_encounter*p_infected)^R101</f>
        <v>1</v>
      </c>
      <c r="Q101" s="27">
        <f ca="1" t="shared" si="4"/>
        <v>0</v>
      </c>
      <c r="R101" s="27">
        <f ca="1">IF(R100&gt;0,_xlfn.BINOM.INV(R100,1-p_die,RAND()),0)+(Q100-Q101)</f>
        <v>0</v>
      </c>
      <c r="S101" s="27">
        <f ca="1" t="shared" si="5"/>
        <v>100</v>
      </c>
      <c r="Z101" s="20">
        <v>100</v>
      </c>
      <c r="AA101" s="28">
        <v>1</v>
      </c>
      <c r="AB101" s="28">
        <v>1</v>
      </c>
      <c r="AC101" s="29">
        <v>1</v>
      </c>
      <c r="AD101" s="30">
        <v>10850</v>
      </c>
      <c r="AP101">
        <v>100</v>
      </c>
      <c r="AQ101" s="26">
        <f ca="1">(1-p_encounter_protection*p_infected_protection)^AS101</f>
        <v>1</v>
      </c>
      <c r="AR101" s="27">
        <f ca="1" t="shared" si="6"/>
        <v>0</v>
      </c>
      <c r="AS101" s="27">
        <f ca="1">IF(AS100&gt;0,_xlfn.BINOM.INV(AS100,1-p_die,RAND()),0)+(AR100-AR101)</f>
        <v>0</v>
      </c>
      <c r="AT101" s="27">
        <f ca="1" t="shared" si="7"/>
        <v>100</v>
      </c>
      <c r="AU101" s="25"/>
      <c r="BA101">
        <v>100</v>
      </c>
      <c r="BB101" s="28">
        <v>1</v>
      </c>
      <c r="BC101" s="28">
        <v>0</v>
      </c>
      <c r="BD101" s="29">
        <v>0.99</v>
      </c>
      <c r="BE101" s="30">
        <v>17980</v>
      </c>
    </row>
    <row r="102" spans="26:57">
      <c r="Z102" s="20">
        <v>101</v>
      </c>
      <c r="AA102" s="28">
        <v>1</v>
      </c>
      <c r="AB102" s="28">
        <v>1</v>
      </c>
      <c r="AC102" s="29">
        <v>1</v>
      </c>
      <c r="AD102" s="30">
        <v>11470</v>
      </c>
      <c r="BA102">
        <v>101</v>
      </c>
      <c r="BB102" s="28">
        <v>1</v>
      </c>
      <c r="BC102" s="28">
        <v>1</v>
      </c>
      <c r="BD102" s="29">
        <v>1</v>
      </c>
      <c r="BE102" s="30">
        <v>14700</v>
      </c>
    </row>
    <row r="103" spans="26:57">
      <c r="Z103" s="20">
        <v>102</v>
      </c>
      <c r="AA103" s="28">
        <v>1</v>
      </c>
      <c r="AB103" s="28">
        <v>1</v>
      </c>
      <c r="AC103" s="29">
        <v>1</v>
      </c>
      <c r="AD103" s="30">
        <v>11710</v>
      </c>
      <c r="BA103">
        <v>102</v>
      </c>
      <c r="BB103" s="28">
        <v>1</v>
      </c>
      <c r="BC103" s="28">
        <v>0</v>
      </c>
      <c r="BD103" s="29">
        <v>0.99</v>
      </c>
      <c r="BE103" s="30">
        <v>17910</v>
      </c>
    </row>
    <row r="104" spans="26:57">
      <c r="Z104" s="20">
        <v>103</v>
      </c>
      <c r="AA104" s="28">
        <v>1</v>
      </c>
      <c r="AB104" s="28">
        <v>1</v>
      </c>
      <c r="AC104" s="29">
        <v>1</v>
      </c>
      <c r="AD104" s="30">
        <v>12910</v>
      </c>
      <c r="BA104">
        <v>103</v>
      </c>
      <c r="BB104" s="28">
        <v>1</v>
      </c>
      <c r="BC104" s="28">
        <v>1</v>
      </c>
      <c r="BD104" s="29">
        <v>1</v>
      </c>
      <c r="BE104" s="30">
        <v>15420</v>
      </c>
    </row>
    <row r="105" spans="26:57">
      <c r="Z105" s="20">
        <v>104</v>
      </c>
      <c r="AA105" s="28">
        <v>1</v>
      </c>
      <c r="AB105" s="28">
        <v>1</v>
      </c>
      <c r="AC105" s="29">
        <v>1</v>
      </c>
      <c r="AD105" s="30">
        <v>14290</v>
      </c>
      <c r="BA105">
        <v>104</v>
      </c>
      <c r="BB105" s="28">
        <v>1</v>
      </c>
      <c r="BC105" s="28">
        <v>1</v>
      </c>
      <c r="BD105" s="29">
        <v>1</v>
      </c>
      <c r="BE105" s="30">
        <v>16780</v>
      </c>
    </row>
    <row r="106" spans="26:57">
      <c r="Z106" s="20">
        <v>105</v>
      </c>
      <c r="AA106" s="28">
        <v>1</v>
      </c>
      <c r="AB106" s="28">
        <v>1</v>
      </c>
      <c r="AC106" s="29">
        <v>1</v>
      </c>
      <c r="AD106" s="30">
        <v>12170</v>
      </c>
      <c r="BA106">
        <v>105</v>
      </c>
      <c r="BB106" s="28">
        <v>1</v>
      </c>
      <c r="BC106" s="28">
        <v>1</v>
      </c>
      <c r="BD106" s="29">
        <v>1</v>
      </c>
      <c r="BE106" s="30">
        <v>15120</v>
      </c>
    </row>
    <row r="107" spans="26:57">
      <c r="Z107" s="20">
        <v>106</v>
      </c>
      <c r="AA107" s="28">
        <v>1</v>
      </c>
      <c r="AB107" s="28">
        <v>1</v>
      </c>
      <c r="AC107" s="29">
        <v>1</v>
      </c>
      <c r="AD107" s="30">
        <v>11860</v>
      </c>
      <c r="BA107">
        <v>106</v>
      </c>
      <c r="BB107" s="28">
        <v>1</v>
      </c>
      <c r="BC107" s="28">
        <v>0</v>
      </c>
      <c r="BD107" s="29">
        <v>0.99</v>
      </c>
      <c r="BE107" s="30">
        <v>15840</v>
      </c>
    </row>
    <row r="108" spans="26:57">
      <c r="Z108" s="20">
        <v>107</v>
      </c>
      <c r="AA108" s="28">
        <v>1</v>
      </c>
      <c r="AB108" s="28">
        <v>1</v>
      </c>
      <c r="AC108" s="29">
        <v>1</v>
      </c>
      <c r="AD108" s="30">
        <v>12020</v>
      </c>
      <c r="BA108">
        <v>107</v>
      </c>
      <c r="BB108" s="28">
        <v>1</v>
      </c>
      <c r="BC108" s="28">
        <v>1</v>
      </c>
      <c r="BD108" s="29">
        <v>1</v>
      </c>
      <c r="BE108" s="30">
        <v>16270</v>
      </c>
    </row>
    <row r="109" spans="26:57">
      <c r="Z109" s="20">
        <v>108</v>
      </c>
      <c r="AA109" s="28">
        <v>1</v>
      </c>
      <c r="AB109" s="28">
        <v>1</v>
      </c>
      <c r="AC109" s="29">
        <v>1</v>
      </c>
      <c r="AD109" s="30">
        <v>14180</v>
      </c>
      <c r="BA109">
        <v>108</v>
      </c>
      <c r="BB109" s="28">
        <v>1</v>
      </c>
      <c r="BC109" s="28">
        <v>1</v>
      </c>
      <c r="BD109" s="29">
        <v>1</v>
      </c>
      <c r="BE109" s="30">
        <v>16330</v>
      </c>
    </row>
    <row r="110" spans="26:57">
      <c r="Z110" s="20">
        <v>109</v>
      </c>
      <c r="AA110" s="28">
        <v>1</v>
      </c>
      <c r="AB110" s="28">
        <v>1</v>
      </c>
      <c r="AC110" s="29">
        <v>1</v>
      </c>
      <c r="AD110" s="30">
        <v>13440</v>
      </c>
      <c r="BA110">
        <v>109</v>
      </c>
      <c r="BB110" s="28">
        <v>1</v>
      </c>
      <c r="BC110" s="28">
        <v>1</v>
      </c>
      <c r="BD110" s="29">
        <v>1</v>
      </c>
      <c r="BE110" s="30">
        <v>18130</v>
      </c>
    </row>
    <row r="111" spans="26:57">
      <c r="Z111" s="20">
        <v>110</v>
      </c>
      <c r="AA111" s="28">
        <v>1</v>
      </c>
      <c r="AB111" s="28">
        <v>1</v>
      </c>
      <c r="AC111" s="29">
        <v>1</v>
      </c>
      <c r="AD111" s="30">
        <v>11330</v>
      </c>
      <c r="BA111">
        <v>110</v>
      </c>
      <c r="BB111" s="28">
        <v>1</v>
      </c>
      <c r="BC111" s="28">
        <v>1</v>
      </c>
      <c r="BD111" s="29">
        <v>1</v>
      </c>
      <c r="BE111" s="30">
        <v>17150</v>
      </c>
    </row>
    <row r="112" spans="26:57">
      <c r="Z112" s="20">
        <v>111</v>
      </c>
      <c r="AA112" s="28">
        <v>1</v>
      </c>
      <c r="AB112" s="28">
        <v>1</v>
      </c>
      <c r="AC112" s="29">
        <v>1</v>
      </c>
      <c r="AD112" s="30">
        <v>12430</v>
      </c>
      <c r="BA112">
        <v>111</v>
      </c>
      <c r="BB112" s="28">
        <v>1</v>
      </c>
      <c r="BC112" s="28">
        <v>0</v>
      </c>
      <c r="BD112" s="29">
        <v>0.99</v>
      </c>
      <c r="BE112" s="30">
        <v>19000</v>
      </c>
    </row>
    <row r="113" spans="26:57">
      <c r="Z113" s="20">
        <v>112</v>
      </c>
      <c r="AA113" s="28">
        <v>1</v>
      </c>
      <c r="AB113" s="28">
        <v>1</v>
      </c>
      <c r="AC113" s="29">
        <v>1</v>
      </c>
      <c r="AD113" s="30">
        <v>13890</v>
      </c>
      <c r="BA113">
        <v>112</v>
      </c>
      <c r="BB113" s="28">
        <v>1</v>
      </c>
      <c r="BC113" s="28">
        <v>1</v>
      </c>
      <c r="BD113" s="29">
        <v>1</v>
      </c>
      <c r="BE113" s="30">
        <v>17440</v>
      </c>
    </row>
    <row r="114" spans="26:57">
      <c r="Z114" s="20">
        <v>113</v>
      </c>
      <c r="AA114" s="28">
        <v>1</v>
      </c>
      <c r="AB114" s="28">
        <v>1</v>
      </c>
      <c r="AC114" s="29">
        <v>1</v>
      </c>
      <c r="AD114" s="30">
        <v>13730</v>
      </c>
      <c r="BA114">
        <v>113</v>
      </c>
      <c r="BB114" s="28">
        <v>1</v>
      </c>
      <c r="BC114" s="28">
        <v>0</v>
      </c>
      <c r="BD114" s="29">
        <v>0.99</v>
      </c>
      <c r="BE114" s="30">
        <v>18650</v>
      </c>
    </row>
    <row r="115" spans="26:57">
      <c r="Z115" s="20">
        <v>114</v>
      </c>
      <c r="AA115" s="28">
        <v>1</v>
      </c>
      <c r="AB115" s="28">
        <v>1</v>
      </c>
      <c r="AC115" s="29">
        <v>1</v>
      </c>
      <c r="AD115" s="30">
        <v>11690</v>
      </c>
      <c r="BA115">
        <v>114</v>
      </c>
      <c r="BB115" s="28">
        <v>1</v>
      </c>
      <c r="BC115" s="28">
        <v>1</v>
      </c>
      <c r="BD115" s="29">
        <v>1</v>
      </c>
      <c r="BE115" s="30">
        <v>15290</v>
      </c>
    </row>
    <row r="116" spans="26:57">
      <c r="Z116" s="20">
        <v>115</v>
      </c>
      <c r="AA116" s="28">
        <v>1</v>
      </c>
      <c r="AB116" s="28">
        <v>1</v>
      </c>
      <c r="AC116" s="29">
        <v>1</v>
      </c>
      <c r="AD116" s="30">
        <v>11120</v>
      </c>
      <c r="BA116">
        <v>115</v>
      </c>
      <c r="BB116" s="28">
        <v>1</v>
      </c>
      <c r="BC116" s="28">
        <v>1</v>
      </c>
      <c r="BD116" s="29">
        <v>1</v>
      </c>
      <c r="BE116" s="30">
        <v>16500</v>
      </c>
    </row>
    <row r="117" spans="26:57">
      <c r="Z117" s="20">
        <v>116</v>
      </c>
      <c r="AA117" s="28">
        <v>1</v>
      </c>
      <c r="AB117" s="28">
        <v>1</v>
      </c>
      <c r="AC117" s="29">
        <v>1</v>
      </c>
      <c r="AD117" s="30">
        <v>11830</v>
      </c>
      <c r="BA117">
        <v>116</v>
      </c>
      <c r="BB117" s="28">
        <v>1</v>
      </c>
      <c r="BC117" s="28">
        <v>1</v>
      </c>
      <c r="BD117" s="29">
        <v>1</v>
      </c>
      <c r="BE117" s="30">
        <v>16900</v>
      </c>
    </row>
    <row r="118" spans="26:57">
      <c r="Z118" s="20">
        <v>117</v>
      </c>
      <c r="AA118" s="28">
        <v>1</v>
      </c>
      <c r="AB118" s="28">
        <v>1</v>
      </c>
      <c r="AC118" s="29">
        <v>1</v>
      </c>
      <c r="AD118" s="30">
        <v>12450</v>
      </c>
      <c r="BA118">
        <v>117</v>
      </c>
      <c r="BB118" s="28">
        <v>1</v>
      </c>
      <c r="BC118" s="28">
        <v>1</v>
      </c>
      <c r="BD118" s="29">
        <v>1</v>
      </c>
      <c r="BE118" s="30">
        <v>16160</v>
      </c>
    </row>
    <row r="119" spans="26:57">
      <c r="Z119" s="20">
        <v>118</v>
      </c>
      <c r="AA119" s="28">
        <v>1</v>
      </c>
      <c r="AB119" s="28">
        <v>1</v>
      </c>
      <c r="AC119" s="29">
        <v>1</v>
      </c>
      <c r="AD119" s="30">
        <v>11640</v>
      </c>
      <c r="BA119">
        <v>118</v>
      </c>
      <c r="BB119" s="28">
        <v>1</v>
      </c>
      <c r="BC119" s="28">
        <v>1</v>
      </c>
      <c r="BD119" s="29">
        <v>1</v>
      </c>
      <c r="BE119" s="30">
        <v>18440</v>
      </c>
    </row>
    <row r="120" spans="26:57">
      <c r="Z120" s="20">
        <v>119</v>
      </c>
      <c r="AA120" s="28">
        <v>1</v>
      </c>
      <c r="AB120" s="28">
        <v>1</v>
      </c>
      <c r="AC120" s="29">
        <v>1</v>
      </c>
      <c r="AD120" s="30">
        <v>11680</v>
      </c>
      <c r="BA120">
        <v>119</v>
      </c>
      <c r="BB120" s="28">
        <v>1</v>
      </c>
      <c r="BC120" s="28">
        <v>0</v>
      </c>
      <c r="BD120" s="29">
        <v>0.99</v>
      </c>
      <c r="BE120" s="30">
        <v>16830</v>
      </c>
    </row>
    <row r="121" spans="26:57">
      <c r="Z121" s="20">
        <v>120</v>
      </c>
      <c r="AA121" s="28">
        <v>1</v>
      </c>
      <c r="AB121" s="28">
        <v>1</v>
      </c>
      <c r="AC121" s="29">
        <v>1</v>
      </c>
      <c r="AD121" s="30">
        <v>12060</v>
      </c>
      <c r="BA121">
        <v>120</v>
      </c>
      <c r="BB121" s="28">
        <v>1</v>
      </c>
      <c r="BC121" s="28">
        <v>1</v>
      </c>
      <c r="BD121" s="29">
        <v>1</v>
      </c>
      <c r="BE121" s="30">
        <v>14240</v>
      </c>
    </row>
    <row r="122" spans="26:57">
      <c r="Z122" s="20">
        <v>121</v>
      </c>
      <c r="AA122" s="28">
        <v>1</v>
      </c>
      <c r="AB122" s="28">
        <v>1</v>
      </c>
      <c r="AC122" s="29">
        <v>1</v>
      </c>
      <c r="AD122" s="30">
        <v>12600</v>
      </c>
      <c r="BA122">
        <v>121</v>
      </c>
      <c r="BB122" s="28">
        <v>1</v>
      </c>
      <c r="BC122" s="28">
        <v>1</v>
      </c>
      <c r="BD122" s="29">
        <v>1</v>
      </c>
      <c r="BE122" s="30">
        <v>14370</v>
      </c>
    </row>
    <row r="123" spans="26:57">
      <c r="Z123" s="20">
        <v>122</v>
      </c>
      <c r="AA123" s="28">
        <v>1</v>
      </c>
      <c r="AB123" s="28">
        <v>1</v>
      </c>
      <c r="AC123" s="29">
        <v>1</v>
      </c>
      <c r="AD123" s="30">
        <v>14240</v>
      </c>
      <c r="BA123">
        <v>122</v>
      </c>
      <c r="BB123" s="28">
        <v>1</v>
      </c>
      <c r="BC123" s="28">
        <v>1</v>
      </c>
      <c r="BD123" s="29">
        <v>1</v>
      </c>
      <c r="BE123" s="30">
        <v>17530</v>
      </c>
    </row>
    <row r="124" spans="26:57">
      <c r="Z124" s="20">
        <v>123</v>
      </c>
      <c r="AA124" s="28">
        <v>1</v>
      </c>
      <c r="AB124" s="28">
        <v>1</v>
      </c>
      <c r="AC124" s="29">
        <v>1</v>
      </c>
      <c r="AD124" s="30">
        <v>11430</v>
      </c>
      <c r="BA124">
        <v>123</v>
      </c>
      <c r="BB124" s="28">
        <v>1</v>
      </c>
      <c r="BC124" s="28">
        <v>1</v>
      </c>
      <c r="BD124" s="29">
        <v>1</v>
      </c>
      <c r="BE124" s="30">
        <v>16800</v>
      </c>
    </row>
    <row r="125" spans="26:57">
      <c r="Z125" s="20">
        <v>124</v>
      </c>
      <c r="AA125" s="28">
        <v>1</v>
      </c>
      <c r="AB125" s="28">
        <v>1</v>
      </c>
      <c r="AC125" s="29">
        <v>1</v>
      </c>
      <c r="AD125" s="30">
        <v>13700</v>
      </c>
      <c r="BA125">
        <v>124</v>
      </c>
      <c r="BB125" s="28">
        <v>1</v>
      </c>
      <c r="BC125" s="28">
        <v>1</v>
      </c>
      <c r="BD125" s="29">
        <v>1</v>
      </c>
      <c r="BE125" s="30">
        <v>18540</v>
      </c>
    </row>
    <row r="126" spans="26:57">
      <c r="Z126" s="20">
        <v>125</v>
      </c>
      <c r="AA126" s="28">
        <v>1</v>
      </c>
      <c r="AB126" s="28">
        <v>1</v>
      </c>
      <c r="AC126" s="29">
        <v>1</v>
      </c>
      <c r="AD126" s="30">
        <v>11080</v>
      </c>
      <c r="BA126">
        <v>125</v>
      </c>
      <c r="BB126" s="28">
        <v>1</v>
      </c>
      <c r="BC126" s="28">
        <v>1</v>
      </c>
      <c r="BD126" s="29">
        <v>1</v>
      </c>
      <c r="BE126" s="30">
        <v>16230</v>
      </c>
    </row>
    <row r="127" spans="26:57">
      <c r="Z127" s="20">
        <v>126</v>
      </c>
      <c r="AA127" s="28">
        <v>1</v>
      </c>
      <c r="AB127" s="28">
        <v>1</v>
      </c>
      <c r="AC127" s="29">
        <v>1</v>
      </c>
      <c r="AD127" s="30">
        <v>12820</v>
      </c>
      <c r="BA127">
        <v>126</v>
      </c>
      <c r="BB127" s="28">
        <v>1</v>
      </c>
      <c r="BC127" s="28">
        <v>1</v>
      </c>
      <c r="BD127" s="29">
        <v>1</v>
      </c>
      <c r="BE127" s="30">
        <v>15370</v>
      </c>
    </row>
    <row r="128" spans="26:57">
      <c r="Z128" s="20">
        <v>127</v>
      </c>
      <c r="AA128" s="28">
        <v>1</v>
      </c>
      <c r="AB128" s="28">
        <v>1</v>
      </c>
      <c r="AC128" s="29">
        <v>1</v>
      </c>
      <c r="AD128" s="30">
        <v>12450</v>
      </c>
      <c r="BA128">
        <v>127</v>
      </c>
      <c r="BB128" s="28">
        <v>1</v>
      </c>
      <c r="BC128" s="28">
        <v>0</v>
      </c>
      <c r="BD128" s="29">
        <v>0.97</v>
      </c>
      <c r="BE128" s="30">
        <v>19590</v>
      </c>
    </row>
    <row r="129" spans="26:57">
      <c r="Z129" s="20">
        <v>128</v>
      </c>
      <c r="AA129" s="28">
        <v>0</v>
      </c>
      <c r="AB129" s="28">
        <v>0</v>
      </c>
      <c r="AC129" s="29">
        <v>1</v>
      </c>
      <c r="AD129" s="30">
        <v>13380</v>
      </c>
      <c r="BA129">
        <v>128</v>
      </c>
      <c r="BB129" s="28">
        <v>1</v>
      </c>
      <c r="BC129" s="28">
        <v>0</v>
      </c>
      <c r="BD129" s="29">
        <v>0.99</v>
      </c>
      <c r="BE129" s="30">
        <v>15730</v>
      </c>
    </row>
    <row r="130" spans="26:57">
      <c r="Z130" s="20">
        <v>129</v>
      </c>
      <c r="AA130" s="28">
        <v>1</v>
      </c>
      <c r="AB130" s="28">
        <v>1</v>
      </c>
      <c r="AC130" s="29">
        <v>1</v>
      </c>
      <c r="AD130" s="30">
        <v>12840</v>
      </c>
      <c r="BA130">
        <v>129</v>
      </c>
      <c r="BB130" s="28">
        <v>1</v>
      </c>
      <c r="BC130" s="28">
        <v>1</v>
      </c>
      <c r="BD130" s="29">
        <v>1</v>
      </c>
      <c r="BE130" s="30">
        <v>17370</v>
      </c>
    </row>
    <row r="131" spans="26:57">
      <c r="Z131" s="20">
        <v>130</v>
      </c>
      <c r="AA131" s="28">
        <v>1</v>
      </c>
      <c r="AB131" s="28">
        <v>1</v>
      </c>
      <c r="AC131" s="29">
        <v>1</v>
      </c>
      <c r="AD131" s="30">
        <v>11660</v>
      </c>
      <c r="BA131">
        <v>130</v>
      </c>
      <c r="BB131" s="28">
        <v>1</v>
      </c>
      <c r="BC131" s="28">
        <v>1</v>
      </c>
      <c r="BD131" s="29">
        <v>1</v>
      </c>
      <c r="BE131" s="30">
        <v>19480</v>
      </c>
    </row>
    <row r="132" spans="26:57">
      <c r="Z132" s="20">
        <v>131</v>
      </c>
      <c r="AA132" s="28">
        <v>1</v>
      </c>
      <c r="AB132" s="28">
        <v>1</v>
      </c>
      <c r="AC132" s="29">
        <v>1</v>
      </c>
      <c r="AD132" s="30">
        <v>13210</v>
      </c>
      <c r="BA132">
        <v>131</v>
      </c>
      <c r="BB132" s="28">
        <v>1</v>
      </c>
      <c r="BC132" s="28">
        <v>0</v>
      </c>
      <c r="BD132" s="29">
        <v>0.95</v>
      </c>
      <c r="BE132" s="30">
        <v>19750</v>
      </c>
    </row>
    <row r="133" spans="26:57">
      <c r="Z133" s="20">
        <v>132</v>
      </c>
      <c r="AA133" s="28">
        <v>1</v>
      </c>
      <c r="AB133" s="28">
        <v>1</v>
      </c>
      <c r="AC133" s="29">
        <v>1</v>
      </c>
      <c r="AD133" s="30">
        <v>14700</v>
      </c>
      <c r="BA133">
        <v>132</v>
      </c>
      <c r="BB133" s="28">
        <v>1</v>
      </c>
      <c r="BC133" s="28">
        <v>1</v>
      </c>
      <c r="BD133" s="29">
        <v>1</v>
      </c>
      <c r="BE133" s="30">
        <v>14180</v>
      </c>
    </row>
    <row r="134" spans="26:57">
      <c r="Z134" s="20">
        <v>133</v>
      </c>
      <c r="AA134" s="28">
        <v>1</v>
      </c>
      <c r="AB134" s="28">
        <v>1</v>
      </c>
      <c r="AC134" s="29">
        <v>1</v>
      </c>
      <c r="AD134" s="30">
        <v>11600</v>
      </c>
      <c r="BA134">
        <v>133</v>
      </c>
      <c r="BB134" s="28">
        <v>1</v>
      </c>
      <c r="BC134" s="28">
        <v>0</v>
      </c>
      <c r="BD134" s="29">
        <v>0.98</v>
      </c>
      <c r="BE134" s="30">
        <v>16560</v>
      </c>
    </row>
    <row r="135" spans="26:57">
      <c r="Z135" s="20">
        <v>134</v>
      </c>
      <c r="AA135" s="28">
        <v>1</v>
      </c>
      <c r="AB135" s="28">
        <v>1</v>
      </c>
      <c r="AC135" s="29">
        <v>1</v>
      </c>
      <c r="AD135" s="30">
        <v>11720</v>
      </c>
      <c r="BA135">
        <v>134</v>
      </c>
      <c r="BB135" s="28">
        <v>1</v>
      </c>
      <c r="BC135" s="28">
        <v>1</v>
      </c>
      <c r="BD135" s="29">
        <v>1</v>
      </c>
      <c r="BE135" s="30">
        <v>16530</v>
      </c>
    </row>
    <row r="136" spans="26:57">
      <c r="Z136" s="20">
        <v>135</v>
      </c>
      <c r="AA136" s="28">
        <v>1</v>
      </c>
      <c r="AB136" s="28">
        <v>1</v>
      </c>
      <c r="AC136" s="29">
        <v>1</v>
      </c>
      <c r="AD136" s="30">
        <v>12530</v>
      </c>
      <c r="BA136">
        <v>135</v>
      </c>
      <c r="BB136" s="28">
        <v>1</v>
      </c>
      <c r="BC136" s="28">
        <v>1</v>
      </c>
      <c r="BD136" s="29">
        <v>1</v>
      </c>
      <c r="BE136" s="30">
        <v>16050</v>
      </c>
    </row>
    <row r="137" spans="26:57">
      <c r="Z137" s="20">
        <v>136</v>
      </c>
      <c r="AA137" s="28">
        <v>1</v>
      </c>
      <c r="AB137" s="28">
        <v>1</v>
      </c>
      <c r="AC137" s="29">
        <v>1</v>
      </c>
      <c r="AD137" s="30">
        <v>11560</v>
      </c>
      <c r="BA137">
        <v>136</v>
      </c>
      <c r="BB137" s="28">
        <v>1</v>
      </c>
      <c r="BC137" s="28">
        <v>0</v>
      </c>
      <c r="BD137" s="29">
        <v>0.96</v>
      </c>
      <c r="BE137" s="30">
        <v>18390</v>
      </c>
    </row>
    <row r="138" spans="26:57">
      <c r="Z138" s="20">
        <v>137</v>
      </c>
      <c r="AA138" s="28">
        <v>1</v>
      </c>
      <c r="AB138" s="28">
        <v>1</v>
      </c>
      <c r="AC138" s="29">
        <v>1</v>
      </c>
      <c r="AD138" s="30">
        <v>12640</v>
      </c>
      <c r="BA138">
        <v>137</v>
      </c>
      <c r="BB138" s="28">
        <v>1</v>
      </c>
      <c r="BC138" s="28">
        <v>1</v>
      </c>
      <c r="BD138" s="29">
        <v>1</v>
      </c>
      <c r="BE138" s="30">
        <v>16410</v>
      </c>
    </row>
    <row r="139" spans="26:57">
      <c r="Z139" s="20">
        <v>138</v>
      </c>
      <c r="AA139" s="28">
        <v>1</v>
      </c>
      <c r="AB139" s="28">
        <v>1</v>
      </c>
      <c r="AC139" s="29">
        <v>1</v>
      </c>
      <c r="AD139" s="30">
        <v>11130</v>
      </c>
      <c r="BA139">
        <v>138</v>
      </c>
      <c r="BB139" s="28">
        <v>1</v>
      </c>
      <c r="BC139" s="28">
        <v>0</v>
      </c>
      <c r="BD139" s="29">
        <v>0.99</v>
      </c>
      <c r="BE139" s="30">
        <v>15790</v>
      </c>
    </row>
    <row r="140" spans="26:57">
      <c r="Z140" s="20">
        <v>139</v>
      </c>
      <c r="AA140" s="28">
        <v>1</v>
      </c>
      <c r="AB140" s="28">
        <v>1</v>
      </c>
      <c r="AC140" s="29">
        <v>1</v>
      </c>
      <c r="AD140" s="30">
        <v>12110</v>
      </c>
      <c r="BA140">
        <v>139</v>
      </c>
      <c r="BB140" s="28">
        <v>1</v>
      </c>
      <c r="BC140" s="28">
        <v>1</v>
      </c>
      <c r="BD140" s="29">
        <v>1</v>
      </c>
      <c r="BE140" s="30">
        <v>18540</v>
      </c>
    </row>
    <row r="141" spans="26:57">
      <c r="Z141" s="20">
        <v>140</v>
      </c>
      <c r="AA141" s="28">
        <v>1</v>
      </c>
      <c r="AB141" s="28">
        <v>1</v>
      </c>
      <c r="AC141" s="29">
        <v>1</v>
      </c>
      <c r="AD141" s="30">
        <v>15010</v>
      </c>
      <c r="BA141">
        <v>140</v>
      </c>
      <c r="BB141" s="28">
        <v>1</v>
      </c>
      <c r="BC141" s="28">
        <v>1</v>
      </c>
      <c r="BD141" s="29">
        <v>1</v>
      </c>
      <c r="BE141" s="30">
        <v>16500</v>
      </c>
    </row>
    <row r="142" spans="26:57">
      <c r="Z142" s="20">
        <v>141</v>
      </c>
      <c r="AA142" s="28">
        <v>1</v>
      </c>
      <c r="AB142" s="28">
        <v>1</v>
      </c>
      <c r="AC142" s="29">
        <v>1</v>
      </c>
      <c r="AD142" s="30">
        <v>12560</v>
      </c>
      <c r="BA142">
        <v>141</v>
      </c>
      <c r="BB142" s="28">
        <v>1</v>
      </c>
      <c r="BC142" s="28">
        <v>1</v>
      </c>
      <c r="BD142" s="29">
        <v>1</v>
      </c>
      <c r="BE142" s="30">
        <v>15900</v>
      </c>
    </row>
    <row r="143" spans="26:57">
      <c r="Z143" s="20">
        <v>142</v>
      </c>
      <c r="AA143" s="28">
        <v>1</v>
      </c>
      <c r="AB143" s="28">
        <v>1</v>
      </c>
      <c r="AC143" s="29">
        <v>1</v>
      </c>
      <c r="AD143" s="30">
        <v>12680</v>
      </c>
      <c r="BA143">
        <v>142</v>
      </c>
      <c r="BB143" s="28">
        <v>1</v>
      </c>
      <c r="BC143" s="28">
        <v>1</v>
      </c>
      <c r="BD143" s="29">
        <v>1</v>
      </c>
      <c r="BE143" s="30">
        <v>17820</v>
      </c>
    </row>
    <row r="144" spans="26:57">
      <c r="Z144" s="20">
        <v>143</v>
      </c>
      <c r="AA144" s="28">
        <v>1</v>
      </c>
      <c r="AB144" s="28">
        <v>1</v>
      </c>
      <c r="AC144" s="29">
        <v>1</v>
      </c>
      <c r="AD144" s="30">
        <v>14120</v>
      </c>
      <c r="BA144">
        <v>143</v>
      </c>
      <c r="BB144" s="28">
        <v>1</v>
      </c>
      <c r="BC144" s="28">
        <v>1</v>
      </c>
      <c r="BD144" s="29">
        <v>1</v>
      </c>
      <c r="BE144" s="30">
        <v>16770</v>
      </c>
    </row>
    <row r="145" spans="26:57">
      <c r="Z145" s="20">
        <v>144</v>
      </c>
      <c r="AA145" s="28">
        <v>1</v>
      </c>
      <c r="AB145" s="28">
        <v>1</v>
      </c>
      <c r="AC145" s="29">
        <v>1</v>
      </c>
      <c r="AD145" s="30">
        <v>13480</v>
      </c>
      <c r="BA145">
        <v>144</v>
      </c>
      <c r="BB145" s="28">
        <v>1</v>
      </c>
      <c r="BC145" s="28">
        <v>1</v>
      </c>
      <c r="BD145" s="29">
        <v>1</v>
      </c>
      <c r="BE145" s="30">
        <v>13390</v>
      </c>
    </row>
    <row r="146" spans="26:57">
      <c r="Z146" s="20">
        <v>145</v>
      </c>
      <c r="AA146" s="28">
        <v>1</v>
      </c>
      <c r="AB146" s="28">
        <v>1</v>
      </c>
      <c r="AC146" s="29">
        <v>1</v>
      </c>
      <c r="AD146" s="30">
        <v>13520</v>
      </c>
      <c r="BA146">
        <v>145</v>
      </c>
      <c r="BB146" s="28">
        <v>1</v>
      </c>
      <c r="BC146" s="28">
        <v>0</v>
      </c>
      <c r="BD146" s="29">
        <v>0.98</v>
      </c>
      <c r="BE146" s="30">
        <v>17280</v>
      </c>
    </row>
    <row r="147" spans="26:57">
      <c r="Z147" s="20">
        <v>146</v>
      </c>
      <c r="AA147" s="28">
        <v>1</v>
      </c>
      <c r="AB147" s="28">
        <v>1</v>
      </c>
      <c r="AC147" s="29">
        <v>1</v>
      </c>
      <c r="AD147" s="30">
        <v>12020</v>
      </c>
      <c r="BA147">
        <v>146</v>
      </c>
      <c r="BB147" s="28">
        <v>1</v>
      </c>
      <c r="BC147" s="28">
        <v>0</v>
      </c>
      <c r="BD147" s="29">
        <v>0.99</v>
      </c>
      <c r="BE147" s="30">
        <v>15800</v>
      </c>
    </row>
    <row r="148" spans="26:57">
      <c r="Z148" s="20">
        <v>147</v>
      </c>
      <c r="AA148" s="28">
        <v>1</v>
      </c>
      <c r="AB148" s="28">
        <v>1</v>
      </c>
      <c r="AC148" s="29">
        <v>1</v>
      </c>
      <c r="AD148" s="30">
        <v>12120</v>
      </c>
      <c r="BA148">
        <v>147</v>
      </c>
      <c r="BB148" s="28">
        <v>1</v>
      </c>
      <c r="BC148" s="28">
        <v>0</v>
      </c>
      <c r="BD148" s="29">
        <v>0.99</v>
      </c>
      <c r="BE148" s="30">
        <v>20380</v>
      </c>
    </row>
    <row r="149" spans="26:57">
      <c r="Z149" s="20">
        <v>148</v>
      </c>
      <c r="AA149" s="28">
        <v>1</v>
      </c>
      <c r="AB149" s="28">
        <v>1</v>
      </c>
      <c r="AC149" s="29">
        <v>1</v>
      </c>
      <c r="AD149" s="30">
        <v>11300</v>
      </c>
      <c r="BA149">
        <v>148</v>
      </c>
      <c r="BB149" s="28">
        <v>1</v>
      </c>
      <c r="BC149" s="28">
        <v>1</v>
      </c>
      <c r="BD149" s="29">
        <v>1</v>
      </c>
      <c r="BE149" s="30">
        <v>14330</v>
      </c>
    </row>
    <row r="150" spans="26:57">
      <c r="Z150" s="20">
        <v>149</v>
      </c>
      <c r="AA150" s="28">
        <v>1</v>
      </c>
      <c r="AB150" s="28">
        <v>1</v>
      </c>
      <c r="AC150" s="29">
        <v>1</v>
      </c>
      <c r="AD150" s="30">
        <v>13630</v>
      </c>
      <c r="BA150">
        <v>149</v>
      </c>
      <c r="BB150" s="28">
        <v>1</v>
      </c>
      <c r="BC150" s="28">
        <v>1</v>
      </c>
      <c r="BD150" s="29">
        <v>1</v>
      </c>
      <c r="BE150" s="30">
        <v>18160</v>
      </c>
    </row>
    <row r="151" spans="26:57">
      <c r="Z151" s="20">
        <v>150</v>
      </c>
      <c r="AA151" s="28">
        <v>1</v>
      </c>
      <c r="AB151" s="28">
        <v>1</v>
      </c>
      <c r="AC151" s="29">
        <v>1</v>
      </c>
      <c r="AD151" s="30">
        <v>11970</v>
      </c>
      <c r="BA151">
        <v>150</v>
      </c>
      <c r="BB151" s="28">
        <v>1</v>
      </c>
      <c r="BC151" s="28">
        <v>0</v>
      </c>
      <c r="BD151" s="29">
        <v>0.99</v>
      </c>
      <c r="BE151" s="30">
        <v>16980</v>
      </c>
    </row>
    <row r="152" spans="26:57">
      <c r="Z152" s="20">
        <v>151</v>
      </c>
      <c r="AA152" s="28">
        <v>1</v>
      </c>
      <c r="AB152" s="28">
        <v>1</v>
      </c>
      <c r="AC152" s="29">
        <v>1</v>
      </c>
      <c r="AD152" s="30">
        <v>12840</v>
      </c>
      <c r="BA152">
        <v>151</v>
      </c>
      <c r="BB152" s="28">
        <v>1</v>
      </c>
      <c r="BC152" s="28">
        <v>1</v>
      </c>
      <c r="BD152" s="29">
        <v>1</v>
      </c>
      <c r="BE152" s="30">
        <v>15890</v>
      </c>
    </row>
    <row r="153" spans="26:57">
      <c r="Z153" s="20">
        <v>152</v>
      </c>
      <c r="AA153" s="28">
        <v>1</v>
      </c>
      <c r="AB153" s="28">
        <v>1</v>
      </c>
      <c r="AC153" s="29">
        <v>1</v>
      </c>
      <c r="AD153" s="30">
        <v>12450</v>
      </c>
      <c r="BA153">
        <v>152</v>
      </c>
      <c r="BB153" s="28">
        <v>1</v>
      </c>
      <c r="BC153" s="28">
        <v>0</v>
      </c>
      <c r="BD153" s="29">
        <v>0.99</v>
      </c>
      <c r="BE153" s="30">
        <v>16630</v>
      </c>
    </row>
    <row r="154" spans="26:57">
      <c r="Z154" s="20">
        <v>153</v>
      </c>
      <c r="AA154" s="28">
        <v>1</v>
      </c>
      <c r="AB154" s="28">
        <v>1</v>
      </c>
      <c r="AC154" s="29">
        <v>1</v>
      </c>
      <c r="AD154" s="30">
        <v>13050</v>
      </c>
      <c r="BA154">
        <v>153</v>
      </c>
      <c r="BB154" s="28">
        <v>1</v>
      </c>
      <c r="BC154" s="28">
        <v>1</v>
      </c>
      <c r="BD154" s="29">
        <v>1</v>
      </c>
      <c r="BE154" s="30">
        <v>16050</v>
      </c>
    </row>
    <row r="155" spans="26:57">
      <c r="Z155" s="20">
        <v>154</v>
      </c>
      <c r="AA155" s="28">
        <v>1</v>
      </c>
      <c r="AB155" s="28">
        <v>1</v>
      </c>
      <c r="AC155" s="29">
        <v>1</v>
      </c>
      <c r="AD155" s="30">
        <v>11150</v>
      </c>
      <c r="BA155">
        <v>154</v>
      </c>
      <c r="BB155" s="28">
        <v>1</v>
      </c>
      <c r="BC155" s="28">
        <v>0</v>
      </c>
      <c r="BD155" s="29">
        <v>0.99</v>
      </c>
      <c r="BE155" s="30">
        <v>17800</v>
      </c>
    </row>
    <row r="156" spans="26:57">
      <c r="Z156" s="20">
        <v>155</v>
      </c>
      <c r="AA156" s="28">
        <v>1</v>
      </c>
      <c r="AB156" s="28">
        <v>1</v>
      </c>
      <c r="AC156" s="29">
        <v>1</v>
      </c>
      <c r="AD156" s="30">
        <v>12700</v>
      </c>
      <c r="BA156">
        <v>155</v>
      </c>
      <c r="BB156" s="28">
        <v>1</v>
      </c>
      <c r="BC156" s="28">
        <v>0</v>
      </c>
      <c r="BD156" s="29">
        <v>0.99</v>
      </c>
      <c r="BE156" s="30">
        <v>17850</v>
      </c>
    </row>
    <row r="157" spans="26:57">
      <c r="Z157" s="20">
        <v>156</v>
      </c>
      <c r="AA157" s="28">
        <v>1</v>
      </c>
      <c r="AB157" s="28">
        <v>1</v>
      </c>
      <c r="AC157" s="29">
        <v>1</v>
      </c>
      <c r="AD157" s="30">
        <v>11050</v>
      </c>
      <c r="BA157">
        <v>156</v>
      </c>
      <c r="BB157" s="28">
        <v>1</v>
      </c>
      <c r="BC157" s="28">
        <v>1</v>
      </c>
      <c r="BD157" s="29">
        <v>1</v>
      </c>
      <c r="BE157" s="30">
        <v>18340</v>
      </c>
    </row>
    <row r="158" spans="26:57">
      <c r="Z158" s="20">
        <v>157</v>
      </c>
      <c r="AA158" s="28">
        <v>1</v>
      </c>
      <c r="AB158" s="28">
        <v>1</v>
      </c>
      <c r="AC158" s="29">
        <v>1</v>
      </c>
      <c r="AD158" s="30">
        <v>12630</v>
      </c>
      <c r="BA158">
        <v>157</v>
      </c>
      <c r="BB158" s="28">
        <v>1</v>
      </c>
      <c r="BC158" s="28">
        <v>1</v>
      </c>
      <c r="BD158" s="29">
        <v>1</v>
      </c>
      <c r="BE158" s="30">
        <v>19440</v>
      </c>
    </row>
    <row r="159" spans="26:57">
      <c r="Z159" s="20">
        <v>158</v>
      </c>
      <c r="AA159" s="28">
        <v>1</v>
      </c>
      <c r="AB159" s="28">
        <v>1</v>
      </c>
      <c r="AC159" s="29">
        <v>1</v>
      </c>
      <c r="AD159" s="30">
        <v>11790</v>
      </c>
      <c r="BA159">
        <v>158</v>
      </c>
      <c r="BB159" s="28">
        <v>1</v>
      </c>
      <c r="BC159" s="28">
        <v>0</v>
      </c>
      <c r="BD159" s="29">
        <v>0.99</v>
      </c>
      <c r="BE159" s="30">
        <v>16450</v>
      </c>
    </row>
    <row r="160" spans="26:57">
      <c r="Z160" s="20">
        <v>159</v>
      </c>
      <c r="AA160" s="28">
        <v>1</v>
      </c>
      <c r="AB160" s="28">
        <v>1</v>
      </c>
      <c r="AC160" s="29">
        <v>1</v>
      </c>
      <c r="AD160" s="30">
        <v>13510</v>
      </c>
      <c r="BA160">
        <v>159</v>
      </c>
      <c r="BB160" s="28">
        <v>1</v>
      </c>
      <c r="BC160" s="28">
        <v>1</v>
      </c>
      <c r="BD160" s="29">
        <v>1</v>
      </c>
      <c r="BE160" s="30">
        <v>18540</v>
      </c>
    </row>
    <row r="161" spans="26:57">
      <c r="Z161" s="20">
        <v>160</v>
      </c>
      <c r="AA161" s="28">
        <v>1</v>
      </c>
      <c r="AB161" s="28">
        <v>1</v>
      </c>
      <c r="AC161" s="29">
        <v>1</v>
      </c>
      <c r="AD161" s="30">
        <v>10610</v>
      </c>
      <c r="BA161">
        <v>160</v>
      </c>
      <c r="BB161" s="28">
        <v>1</v>
      </c>
      <c r="BC161" s="28">
        <v>1</v>
      </c>
      <c r="BD161" s="29">
        <v>1</v>
      </c>
      <c r="BE161" s="30">
        <v>14760</v>
      </c>
    </row>
    <row r="162" spans="26:57">
      <c r="Z162" s="20">
        <v>161</v>
      </c>
      <c r="AA162" s="28">
        <v>1</v>
      </c>
      <c r="AB162" s="28">
        <v>1</v>
      </c>
      <c r="AC162" s="29">
        <v>1</v>
      </c>
      <c r="AD162" s="30">
        <v>13400</v>
      </c>
      <c r="BA162">
        <v>161</v>
      </c>
      <c r="BB162" s="28">
        <v>1</v>
      </c>
      <c r="BC162" s="28">
        <v>1</v>
      </c>
      <c r="BD162" s="29">
        <v>1</v>
      </c>
      <c r="BE162" s="30">
        <v>14670</v>
      </c>
    </row>
    <row r="163" spans="26:57">
      <c r="Z163" s="20">
        <v>162</v>
      </c>
      <c r="AA163" s="28">
        <v>1</v>
      </c>
      <c r="AB163" s="28">
        <v>1</v>
      </c>
      <c r="AC163" s="29">
        <v>1</v>
      </c>
      <c r="AD163" s="30">
        <v>13560</v>
      </c>
      <c r="BA163">
        <v>162</v>
      </c>
      <c r="BB163" s="28">
        <v>1</v>
      </c>
      <c r="BC163" s="28">
        <v>0</v>
      </c>
      <c r="BD163" s="29">
        <v>0.99</v>
      </c>
      <c r="BE163" s="30">
        <v>17290</v>
      </c>
    </row>
    <row r="164" spans="26:57">
      <c r="Z164" s="20">
        <v>163</v>
      </c>
      <c r="AA164" s="28">
        <v>1</v>
      </c>
      <c r="AB164" s="28">
        <v>1</v>
      </c>
      <c r="AC164" s="29">
        <v>1</v>
      </c>
      <c r="AD164" s="30">
        <v>10970</v>
      </c>
      <c r="BA164">
        <v>163</v>
      </c>
      <c r="BB164" s="28">
        <v>1</v>
      </c>
      <c r="BC164" s="28">
        <v>1</v>
      </c>
      <c r="BD164" s="29">
        <v>1</v>
      </c>
      <c r="BE164" s="30">
        <v>18070</v>
      </c>
    </row>
    <row r="165" spans="26:57">
      <c r="Z165" s="20">
        <v>164</v>
      </c>
      <c r="AA165" s="28">
        <v>1</v>
      </c>
      <c r="AB165" s="28">
        <v>1</v>
      </c>
      <c r="AC165" s="29">
        <v>1</v>
      </c>
      <c r="AD165" s="30">
        <v>12300</v>
      </c>
      <c r="BA165">
        <v>164</v>
      </c>
      <c r="BB165" s="28">
        <v>1</v>
      </c>
      <c r="BC165" s="28">
        <v>1</v>
      </c>
      <c r="BD165" s="29">
        <v>1</v>
      </c>
      <c r="BE165" s="30">
        <v>16450</v>
      </c>
    </row>
    <row r="166" spans="26:57">
      <c r="Z166" s="20">
        <v>165</v>
      </c>
      <c r="AA166" s="28">
        <v>1</v>
      </c>
      <c r="AB166" s="28">
        <v>1</v>
      </c>
      <c r="AC166" s="29">
        <v>1</v>
      </c>
      <c r="AD166" s="30">
        <v>13620</v>
      </c>
      <c r="BA166">
        <v>165</v>
      </c>
      <c r="BB166" s="28">
        <v>1</v>
      </c>
      <c r="BC166" s="28">
        <v>0</v>
      </c>
      <c r="BD166" s="29">
        <v>0.99</v>
      </c>
      <c r="BE166" s="30">
        <v>18410</v>
      </c>
    </row>
    <row r="167" spans="26:57">
      <c r="Z167" s="20">
        <v>166</v>
      </c>
      <c r="AA167" s="28">
        <v>1</v>
      </c>
      <c r="AB167" s="28">
        <v>1</v>
      </c>
      <c r="AC167" s="29">
        <v>1</v>
      </c>
      <c r="AD167" s="30">
        <v>13800</v>
      </c>
      <c r="BA167">
        <v>166</v>
      </c>
      <c r="BB167" s="28">
        <v>1</v>
      </c>
      <c r="BC167" s="28">
        <v>0</v>
      </c>
      <c r="BD167" s="29">
        <v>0.99</v>
      </c>
      <c r="BE167" s="30">
        <v>18990</v>
      </c>
    </row>
    <row r="168" spans="26:57">
      <c r="Z168" s="20">
        <v>167</v>
      </c>
      <c r="AA168" s="28">
        <v>1</v>
      </c>
      <c r="AB168" s="28">
        <v>1</v>
      </c>
      <c r="AC168" s="29">
        <v>1</v>
      </c>
      <c r="AD168" s="30">
        <v>11430</v>
      </c>
      <c r="BA168">
        <v>167</v>
      </c>
      <c r="BB168" s="28">
        <v>1</v>
      </c>
      <c r="BC168" s="28">
        <v>0</v>
      </c>
      <c r="BD168" s="29">
        <v>0.98</v>
      </c>
      <c r="BE168" s="30">
        <v>16790</v>
      </c>
    </row>
    <row r="169" spans="26:57">
      <c r="Z169" s="20">
        <v>168</v>
      </c>
      <c r="AA169" s="28">
        <v>1</v>
      </c>
      <c r="AB169" s="28">
        <v>1</v>
      </c>
      <c r="AC169" s="29">
        <v>1</v>
      </c>
      <c r="AD169" s="30">
        <v>14000</v>
      </c>
      <c r="BA169">
        <v>168</v>
      </c>
      <c r="BB169" s="28">
        <v>1</v>
      </c>
      <c r="BC169" s="28">
        <v>1</v>
      </c>
      <c r="BD169" s="29">
        <v>1</v>
      </c>
      <c r="BE169" s="30">
        <v>16320</v>
      </c>
    </row>
    <row r="170" spans="26:57">
      <c r="Z170" s="20">
        <v>169</v>
      </c>
      <c r="AA170" s="28">
        <v>0</v>
      </c>
      <c r="AB170" s="28">
        <v>0</v>
      </c>
      <c r="AC170" s="29">
        <v>1</v>
      </c>
      <c r="AD170" s="30">
        <v>14540</v>
      </c>
      <c r="BA170">
        <v>169</v>
      </c>
      <c r="BB170" s="28">
        <v>1</v>
      </c>
      <c r="BC170" s="28">
        <v>1</v>
      </c>
      <c r="BD170" s="29">
        <v>1</v>
      </c>
      <c r="BE170" s="30">
        <v>16270</v>
      </c>
    </row>
    <row r="171" spans="26:57">
      <c r="Z171" s="20">
        <v>170</v>
      </c>
      <c r="AA171" s="28">
        <v>1</v>
      </c>
      <c r="AB171" s="28">
        <v>1</v>
      </c>
      <c r="AC171" s="29">
        <v>1</v>
      </c>
      <c r="AD171" s="30">
        <v>13370</v>
      </c>
      <c r="BA171">
        <v>170</v>
      </c>
      <c r="BB171" s="28">
        <v>1</v>
      </c>
      <c r="BC171" s="28">
        <v>0</v>
      </c>
      <c r="BD171" s="29">
        <v>0.99</v>
      </c>
      <c r="BE171" s="30">
        <v>16770</v>
      </c>
    </row>
    <row r="172" spans="26:57">
      <c r="Z172" s="20">
        <v>171</v>
      </c>
      <c r="AA172" s="28">
        <v>1</v>
      </c>
      <c r="AB172" s="28">
        <v>1</v>
      </c>
      <c r="AC172" s="29">
        <v>1</v>
      </c>
      <c r="AD172" s="30">
        <v>12920</v>
      </c>
      <c r="BA172">
        <v>171</v>
      </c>
      <c r="BB172" s="28">
        <v>1</v>
      </c>
      <c r="BC172" s="28">
        <v>1</v>
      </c>
      <c r="BD172" s="29">
        <v>1</v>
      </c>
      <c r="BE172" s="30">
        <v>17440</v>
      </c>
    </row>
    <row r="173" spans="26:57">
      <c r="Z173" s="20">
        <v>172</v>
      </c>
      <c r="AA173" s="28">
        <v>1</v>
      </c>
      <c r="AB173" s="28">
        <v>1</v>
      </c>
      <c r="AC173" s="29">
        <v>1</v>
      </c>
      <c r="AD173" s="30">
        <v>12460</v>
      </c>
      <c r="BA173">
        <v>172</v>
      </c>
      <c r="BB173" s="28">
        <v>1</v>
      </c>
      <c r="BC173" s="28">
        <v>1</v>
      </c>
      <c r="BD173" s="29">
        <v>1</v>
      </c>
      <c r="BE173" s="30">
        <v>15160</v>
      </c>
    </row>
    <row r="174" spans="26:57">
      <c r="Z174" s="20">
        <v>173</v>
      </c>
      <c r="AA174" s="28">
        <v>1</v>
      </c>
      <c r="AB174" s="28">
        <v>1</v>
      </c>
      <c r="AC174" s="29">
        <v>1</v>
      </c>
      <c r="AD174" s="30">
        <v>12210</v>
      </c>
      <c r="BA174">
        <v>173</v>
      </c>
      <c r="BB174" s="28">
        <v>1</v>
      </c>
      <c r="BC174" s="28">
        <v>1</v>
      </c>
      <c r="BD174" s="29">
        <v>1</v>
      </c>
      <c r="BE174" s="30">
        <v>19140</v>
      </c>
    </row>
    <row r="175" spans="26:57">
      <c r="Z175" s="20">
        <v>174</v>
      </c>
      <c r="AA175" s="28">
        <v>1</v>
      </c>
      <c r="AB175" s="28">
        <v>1</v>
      </c>
      <c r="AC175" s="29">
        <v>1</v>
      </c>
      <c r="AD175" s="30">
        <v>12720</v>
      </c>
      <c r="BA175">
        <v>174</v>
      </c>
      <c r="BB175" s="28">
        <v>1</v>
      </c>
      <c r="BC175" s="28">
        <v>0</v>
      </c>
      <c r="BD175" s="29">
        <v>0.99</v>
      </c>
      <c r="BE175" s="30">
        <v>17050</v>
      </c>
    </row>
    <row r="176" spans="26:57">
      <c r="Z176" s="20">
        <v>175</v>
      </c>
      <c r="AA176" s="28">
        <v>1</v>
      </c>
      <c r="AB176" s="28">
        <v>1</v>
      </c>
      <c r="AC176" s="29">
        <v>1</v>
      </c>
      <c r="AD176" s="30">
        <v>12960</v>
      </c>
      <c r="BA176">
        <v>175</v>
      </c>
      <c r="BB176" s="28">
        <v>1</v>
      </c>
      <c r="BC176" s="28">
        <v>0</v>
      </c>
      <c r="BD176" s="29">
        <v>0.99</v>
      </c>
      <c r="BE176" s="30">
        <v>18140</v>
      </c>
    </row>
    <row r="177" spans="26:57">
      <c r="Z177" s="20">
        <v>176</v>
      </c>
      <c r="AA177" s="28">
        <v>1</v>
      </c>
      <c r="AB177" s="28">
        <v>1</v>
      </c>
      <c r="AC177" s="29">
        <v>1</v>
      </c>
      <c r="AD177" s="30">
        <v>12400</v>
      </c>
      <c r="BA177">
        <v>176</v>
      </c>
      <c r="BB177" s="28">
        <v>1</v>
      </c>
      <c r="BC177" s="28">
        <v>0</v>
      </c>
      <c r="BD177" s="29">
        <v>0.99</v>
      </c>
      <c r="BE177" s="30">
        <v>17550</v>
      </c>
    </row>
    <row r="178" spans="26:57">
      <c r="Z178" s="20">
        <v>177</v>
      </c>
      <c r="AA178" s="28">
        <v>1</v>
      </c>
      <c r="AB178" s="28">
        <v>1</v>
      </c>
      <c r="AC178" s="29">
        <v>1</v>
      </c>
      <c r="AD178" s="30">
        <v>13940</v>
      </c>
      <c r="BA178">
        <v>177</v>
      </c>
      <c r="BB178" s="28">
        <v>1</v>
      </c>
      <c r="BC178" s="28">
        <v>0</v>
      </c>
      <c r="BD178" s="29">
        <v>0.97</v>
      </c>
      <c r="BE178" s="30">
        <v>17810</v>
      </c>
    </row>
    <row r="179" spans="26:57">
      <c r="Z179" s="20">
        <v>178</v>
      </c>
      <c r="AA179" s="28">
        <v>1</v>
      </c>
      <c r="AB179" s="28">
        <v>1</v>
      </c>
      <c r="AC179" s="29">
        <v>1</v>
      </c>
      <c r="AD179" s="30">
        <v>14180</v>
      </c>
      <c r="BA179">
        <v>178</v>
      </c>
      <c r="BB179" s="28">
        <v>1</v>
      </c>
      <c r="BC179" s="28">
        <v>1</v>
      </c>
      <c r="BD179" s="29">
        <v>1</v>
      </c>
      <c r="BE179" s="30">
        <v>18020</v>
      </c>
    </row>
    <row r="180" spans="26:57">
      <c r="Z180" s="20">
        <v>179</v>
      </c>
      <c r="AA180" s="28">
        <v>1</v>
      </c>
      <c r="AB180" s="28">
        <v>1</v>
      </c>
      <c r="AC180" s="29">
        <v>1</v>
      </c>
      <c r="AD180" s="30">
        <v>12610</v>
      </c>
      <c r="BA180">
        <v>179</v>
      </c>
      <c r="BB180" s="28">
        <v>1</v>
      </c>
      <c r="BC180" s="28">
        <v>1</v>
      </c>
      <c r="BD180" s="29">
        <v>1</v>
      </c>
      <c r="BE180" s="30">
        <v>17080</v>
      </c>
    </row>
    <row r="181" spans="26:57">
      <c r="Z181" s="20">
        <v>180</v>
      </c>
      <c r="AA181" s="28">
        <v>1</v>
      </c>
      <c r="AB181" s="28">
        <v>1</v>
      </c>
      <c r="AC181" s="29">
        <v>1</v>
      </c>
      <c r="AD181" s="30">
        <v>11860</v>
      </c>
      <c r="BA181">
        <v>180</v>
      </c>
      <c r="BB181" s="28">
        <v>1</v>
      </c>
      <c r="BC181" s="28">
        <v>1</v>
      </c>
      <c r="BD181" s="29">
        <v>1</v>
      </c>
      <c r="BE181" s="30">
        <v>15080</v>
      </c>
    </row>
    <row r="182" spans="26:57">
      <c r="Z182" s="20">
        <v>181</v>
      </c>
      <c r="AA182" s="28">
        <v>1</v>
      </c>
      <c r="AB182" s="28">
        <v>1</v>
      </c>
      <c r="AC182" s="29">
        <v>1</v>
      </c>
      <c r="AD182" s="30">
        <v>13160</v>
      </c>
      <c r="BA182">
        <v>181</v>
      </c>
      <c r="BB182" s="28">
        <v>1</v>
      </c>
      <c r="BC182" s="28">
        <v>1</v>
      </c>
      <c r="BD182" s="29">
        <v>1</v>
      </c>
      <c r="BE182" s="30">
        <v>18640</v>
      </c>
    </row>
    <row r="183" spans="26:57">
      <c r="Z183" s="20">
        <v>182</v>
      </c>
      <c r="AA183" s="28">
        <v>1</v>
      </c>
      <c r="AB183" s="28">
        <v>1</v>
      </c>
      <c r="AC183" s="29">
        <v>1</v>
      </c>
      <c r="AD183" s="30">
        <v>12630</v>
      </c>
      <c r="BA183">
        <v>182</v>
      </c>
      <c r="BB183" s="28">
        <v>1</v>
      </c>
      <c r="BC183" s="28">
        <v>1</v>
      </c>
      <c r="BD183" s="29">
        <v>1</v>
      </c>
      <c r="BE183" s="30">
        <v>16210</v>
      </c>
    </row>
    <row r="184" spans="26:57">
      <c r="Z184" s="20">
        <v>183</v>
      </c>
      <c r="AA184" s="28">
        <v>1</v>
      </c>
      <c r="AB184" s="28">
        <v>1</v>
      </c>
      <c r="AC184" s="29">
        <v>1</v>
      </c>
      <c r="AD184" s="30">
        <v>12820</v>
      </c>
      <c r="BA184">
        <v>183</v>
      </c>
      <c r="BB184" s="28">
        <v>1</v>
      </c>
      <c r="BC184" s="28">
        <v>0</v>
      </c>
      <c r="BD184" s="29">
        <v>0.99</v>
      </c>
      <c r="BE184" s="30">
        <v>16680</v>
      </c>
    </row>
    <row r="185" spans="26:57">
      <c r="Z185" s="20">
        <v>184</v>
      </c>
      <c r="AA185" s="28">
        <v>1</v>
      </c>
      <c r="AB185" s="28">
        <v>1</v>
      </c>
      <c r="AC185" s="29">
        <v>1</v>
      </c>
      <c r="AD185" s="30">
        <v>12380</v>
      </c>
      <c r="BA185">
        <v>184</v>
      </c>
      <c r="BB185" s="28">
        <v>1</v>
      </c>
      <c r="BC185" s="28">
        <v>1</v>
      </c>
      <c r="BD185" s="29">
        <v>1</v>
      </c>
      <c r="BE185" s="30">
        <v>16200</v>
      </c>
    </row>
    <row r="186" spans="26:57">
      <c r="Z186" s="20">
        <v>185</v>
      </c>
      <c r="AA186" s="28">
        <v>1</v>
      </c>
      <c r="AB186" s="28">
        <v>1</v>
      </c>
      <c r="AC186" s="29">
        <v>1</v>
      </c>
      <c r="AD186" s="30">
        <v>12430</v>
      </c>
      <c r="BA186">
        <v>185</v>
      </c>
      <c r="BB186" s="28">
        <v>1</v>
      </c>
      <c r="BC186" s="28">
        <v>1</v>
      </c>
      <c r="BD186" s="29">
        <v>1</v>
      </c>
      <c r="BE186" s="30">
        <v>17550</v>
      </c>
    </row>
    <row r="187" spans="26:57">
      <c r="Z187" s="20">
        <v>186</v>
      </c>
      <c r="AA187" s="28">
        <v>1</v>
      </c>
      <c r="AB187" s="28">
        <v>1</v>
      </c>
      <c r="AC187" s="29">
        <v>1</v>
      </c>
      <c r="AD187" s="30">
        <v>14300</v>
      </c>
      <c r="BA187">
        <v>186</v>
      </c>
      <c r="BB187" s="28">
        <v>1</v>
      </c>
      <c r="BC187" s="28">
        <v>0</v>
      </c>
      <c r="BD187" s="29">
        <v>0.99</v>
      </c>
      <c r="BE187" s="30">
        <v>17700</v>
      </c>
    </row>
    <row r="188" spans="26:57">
      <c r="Z188" s="20">
        <v>187</v>
      </c>
      <c r="AA188" s="28">
        <v>1</v>
      </c>
      <c r="AB188" s="28">
        <v>1</v>
      </c>
      <c r="AC188" s="29">
        <v>1</v>
      </c>
      <c r="AD188" s="30">
        <v>13450</v>
      </c>
      <c r="BA188">
        <v>187</v>
      </c>
      <c r="BB188" s="28">
        <v>1</v>
      </c>
      <c r="BC188" s="28">
        <v>1</v>
      </c>
      <c r="BD188" s="29">
        <v>1</v>
      </c>
      <c r="BE188" s="30">
        <v>17710</v>
      </c>
    </row>
    <row r="189" spans="26:57">
      <c r="Z189" s="20">
        <v>188</v>
      </c>
      <c r="AA189" s="28">
        <v>1</v>
      </c>
      <c r="AB189" s="28">
        <v>1</v>
      </c>
      <c r="AC189" s="29">
        <v>1</v>
      </c>
      <c r="AD189" s="30">
        <v>11460</v>
      </c>
      <c r="BA189">
        <v>188</v>
      </c>
      <c r="BB189" s="28">
        <v>1</v>
      </c>
      <c r="BC189" s="28">
        <v>1</v>
      </c>
      <c r="BD189" s="29">
        <v>1</v>
      </c>
      <c r="BE189" s="30">
        <v>18290</v>
      </c>
    </row>
    <row r="190" spans="26:57">
      <c r="Z190" s="20">
        <v>189</v>
      </c>
      <c r="AA190" s="28">
        <v>1</v>
      </c>
      <c r="AB190" s="28">
        <v>1</v>
      </c>
      <c r="AC190" s="29">
        <v>1</v>
      </c>
      <c r="AD190" s="30">
        <v>12410</v>
      </c>
      <c r="BA190">
        <v>189</v>
      </c>
      <c r="BB190" s="28">
        <v>1</v>
      </c>
      <c r="BC190" s="28">
        <v>0</v>
      </c>
      <c r="BD190" s="29">
        <v>0.98</v>
      </c>
      <c r="BE190" s="30">
        <v>19450</v>
      </c>
    </row>
    <row r="191" spans="26:57">
      <c r="Z191" s="20">
        <v>190</v>
      </c>
      <c r="AA191" s="28">
        <v>1</v>
      </c>
      <c r="AB191" s="28">
        <v>1</v>
      </c>
      <c r="AC191" s="29">
        <v>1</v>
      </c>
      <c r="AD191" s="30">
        <v>14260</v>
      </c>
      <c r="BA191">
        <v>190</v>
      </c>
      <c r="BB191" s="28">
        <v>1</v>
      </c>
      <c r="BC191" s="28">
        <v>1</v>
      </c>
      <c r="BD191" s="29">
        <v>1</v>
      </c>
      <c r="BE191" s="30">
        <v>17420</v>
      </c>
    </row>
    <row r="192" spans="26:57">
      <c r="Z192" s="20">
        <v>191</v>
      </c>
      <c r="AA192" s="28">
        <v>1</v>
      </c>
      <c r="AB192" s="28">
        <v>1</v>
      </c>
      <c r="AC192" s="29">
        <v>1</v>
      </c>
      <c r="AD192" s="30">
        <v>12230</v>
      </c>
      <c r="BA192">
        <v>191</v>
      </c>
      <c r="BB192" s="28">
        <v>1</v>
      </c>
      <c r="BC192" s="28">
        <v>0</v>
      </c>
      <c r="BD192" s="29">
        <v>0.99</v>
      </c>
      <c r="BE192" s="30">
        <v>17920</v>
      </c>
    </row>
    <row r="193" spans="26:57">
      <c r="Z193" s="20">
        <v>192</v>
      </c>
      <c r="AA193" s="28">
        <v>1</v>
      </c>
      <c r="AB193" s="28">
        <v>1</v>
      </c>
      <c r="AC193" s="29">
        <v>1</v>
      </c>
      <c r="AD193" s="30">
        <v>13110</v>
      </c>
      <c r="BA193">
        <v>192</v>
      </c>
      <c r="BB193" s="28">
        <v>1</v>
      </c>
      <c r="BC193" s="28">
        <v>0</v>
      </c>
      <c r="BD193" s="29">
        <v>0.99</v>
      </c>
      <c r="BE193" s="30">
        <v>15890</v>
      </c>
    </row>
    <row r="194" spans="26:57">
      <c r="Z194" s="20">
        <v>193</v>
      </c>
      <c r="AA194" s="28">
        <v>1</v>
      </c>
      <c r="AB194" s="28">
        <v>1</v>
      </c>
      <c r="AC194" s="29">
        <v>1</v>
      </c>
      <c r="AD194" s="30">
        <v>12770</v>
      </c>
      <c r="BA194">
        <v>193</v>
      </c>
      <c r="BB194" s="28">
        <v>1</v>
      </c>
      <c r="BC194" s="28">
        <v>0</v>
      </c>
      <c r="BD194" s="29">
        <v>0.99</v>
      </c>
      <c r="BE194" s="30">
        <v>17690</v>
      </c>
    </row>
    <row r="195" spans="26:57">
      <c r="Z195" s="20">
        <v>194</v>
      </c>
      <c r="AA195" s="28">
        <v>1</v>
      </c>
      <c r="AB195" s="28">
        <v>1</v>
      </c>
      <c r="AC195" s="29">
        <v>1</v>
      </c>
      <c r="AD195" s="30">
        <v>12950</v>
      </c>
      <c r="BA195">
        <v>194</v>
      </c>
      <c r="BB195" s="28">
        <v>1</v>
      </c>
      <c r="BC195" s="28">
        <v>1</v>
      </c>
      <c r="BD195" s="29">
        <v>1</v>
      </c>
      <c r="BE195" s="30">
        <v>15760</v>
      </c>
    </row>
    <row r="196" spans="26:57">
      <c r="Z196" s="20">
        <v>195</v>
      </c>
      <c r="AA196" s="28">
        <v>1</v>
      </c>
      <c r="AB196" s="28">
        <v>1</v>
      </c>
      <c r="AC196" s="29">
        <v>1</v>
      </c>
      <c r="AD196" s="30">
        <v>13500</v>
      </c>
      <c r="BA196">
        <v>195</v>
      </c>
      <c r="BB196" s="28">
        <v>1</v>
      </c>
      <c r="BC196" s="28">
        <v>1</v>
      </c>
      <c r="BD196" s="29">
        <v>1</v>
      </c>
      <c r="BE196" s="30">
        <v>15470</v>
      </c>
    </row>
    <row r="197" spans="26:57">
      <c r="Z197" s="20">
        <v>196</v>
      </c>
      <c r="AA197" s="28">
        <v>1</v>
      </c>
      <c r="AB197" s="28">
        <v>1</v>
      </c>
      <c r="AC197" s="29">
        <v>1</v>
      </c>
      <c r="AD197" s="30">
        <v>12480</v>
      </c>
      <c r="BA197">
        <v>196</v>
      </c>
      <c r="BB197" s="28">
        <v>1</v>
      </c>
      <c r="BC197" s="28">
        <v>1</v>
      </c>
      <c r="BD197" s="29">
        <v>1</v>
      </c>
      <c r="BE197" s="30">
        <v>16550</v>
      </c>
    </row>
    <row r="198" spans="26:57">
      <c r="Z198" s="20">
        <v>197</v>
      </c>
      <c r="AA198" s="28">
        <v>1</v>
      </c>
      <c r="AB198" s="28">
        <v>1</v>
      </c>
      <c r="AC198" s="29">
        <v>1</v>
      </c>
      <c r="AD198" s="30">
        <v>11260</v>
      </c>
      <c r="BA198">
        <v>197</v>
      </c>
      <c r="BB198" s="28">
        <v>1</v>
      </c>
      <c r="BC198" s="28">
        <v>0</v>
      </c>
      <c r="BD198" s="29">
        <v>0.98</v>
      </c>
      <c r="BE198" s="30">
        <v>17690</v>
      </c>
    </row>
    <row r="199" spans="26:57">
      <c r="Z199" s="20">
        <v>198</v>
      </c>
      <c r="AA199" s="28">
        <v>1</v>
      </c>
      <c r="AB199" s="28">
        <v>1</v>
      </c>
      <c r="AC199" s="29">
        <v>1</v>
      </c>
      <c r="AD199" s="30">
        <v>11470</v>
      </c>
      <c r="BA199">
        <v>198</v>
      </c>
      <c r="BB199" s="28">
        <v>1</v>
      </c>
      <c r="BC199" s="28">
        <v>0</v>
      </c>
      <c r="BD199" s="29">
        <v>0.99</v>
      </c>
      <c r="BE199" s="30">
        <v>16840</v>
      </c>
    </row>
    <row r="200" spans="26:57">
      <c r="Z200" s="20">
        <v>199</v>
      </c>
      <c r="AA200" s="28">
        <v>1</v>
      </c>
      <c r="AB200" s="28">
        <v>1</v>
      </c>
      <c r="AC200" s="29">
        <v>1</v>
      </c>
      <c r="AD200" s="30">
        <v>11130</v>
      </c>
      <c r="BA200">
        <v>199</v>
      </c>
      <c r="BB200" s="28">
        <v>1</v>
      </c>
      <c r="BC200" s="28">
        <v>1</v>
      </c>
      <c r="BD200" s="29">
        <v>1</v>
      </c>
      <c r="BE200" s="30">
        <v>18980</v>
      </c>
    </row>
    <row r="201" spans="26:57">
      <c r="Z201" s="20">
        <v>200</v>
      </c>
      <c r="AA201" s="28">
        <v>1</v>
      </c>
      <c r="AB201" s="28">
        <v>1</v>
      </c>
      <c r="AC201" s="29">
        <v>1</v>
      </c>
      <c r="AD201" s="30">
        <v>13850</v>
      </c>
      <c r="BA201">
        <v>200</v>
      </c>
      <c r="BB201" s="28">
        <v>1</v>
      </c>
      <c r="BC201" s="28">
        <v>1</v>
      </c>
      <c r="BD201" s="29">
        <v>1</v>
      </c>
      <c r="BE201" s="30">
        <v>16140</v>
      </c>
    </row>
    <row r="202" spans="26:57">
      <c r="Z202" s="20">
        <v>201</v>
      </c>
      <c r="AA202" s="28">
        <v>1</v>
      </c>
      <c r="AB202" s="28">
        <v>1</v>
      </c>
      <c r="AC202" s="29">
        <v>1</v>
      </c>
      <c r="AD202" s="30">
        <v>11880</v>
      </c>
      <c r="BA202">
        <v>201</v>
      </c>
      <c r="BB202" s="28">
        <v>1</v>
      </c>
      <c r="BC202" s="28">
        <v>0</v>
      </c>
      <c r="BD202" s="29">
        <v>0.99</v>
      </c>
      <c r="BE202" s="30">
        <v>17620</v>
      </c>
    </row>
    <row r="203" spans="26:57">
      <c r="Z203" s="20">
        <v>202</v>
      </c>
      <c r="AA203" s="28">
        <v>1</v>
      </c>
      <c r="AB203" s="28">
        <v>1</v>
      </c>
      <c r="AC203" s="29">
        <v>1</v>
      </c>
      <c r="AD203" s="30">
        <v>12510</v>
      </c>
      <c r="BA203">
        <v>202</v>
      </c>
      <c r="BB203" s="28">
        <v>1</v>
      </c>
      <c r="BC203" s="28">
        <v>0</v>
      </c>
      <c r="BD203" s="29">
        <v>0.98</v>
      </c>
      <c r="BE203" s="30">
        <v>17560</v>
      </c>
    </row>
    <row r="204" spans="26:57">
      <c r="Z204" s="20">
        <v>203</v>
      </c>
      <c r="AA204" s="28">
        <v>1</v>
      </c>
      <c r="AB204" s="28">
        <v>1</v>
      </c>
      <c r="AC204" s="29">
        <v>1</v>
      </c>
      <c r="AD204" s="30">
        <v>11920</v>
      </c>
      <c r="BA204">
        <v>203</v>
      </c>
      <c r="BB204" s="28">
        <v>1</v>
      </c>
      <c r="BC204" s="28">
        <v>1</v>
      </c>
      <c r="BD204" s="29">
        <v>1</v>
      </c>
      <c r="BE204" s="30">
        <v>16080</v>
      </c>
    </row>
    <row r="205" spans="26:57">
      <c r="Z205" s="20">
        <v>204</v>
      </c>
      <c r="AA205" s="28">
        <v>1</v>
      </c>
      <c r="AB205" s="28">
        <v>1</v>
      </c>
      <c r="AC205" s="29">
        <v>1</v>
      </c>
      <c r="AD205" s="30">
        <v>12210</v>
      </c>
      <c r="BA205">
        <v>204</v>
      </c>
      <c r="BB205" s="28">
        <v>1</v>
      </c>
      <c r="BC205" s="28">
        <v>0</v>
      </c>
      <c r="BD205" s="29">
        <v>0.99</v>
      </c>
      <c r="BE205" s="30">
        <v>16410</v>
      </c>
    </row>
    <row r="206" spans="26:57">
      <c r="Z206" s="20">
        <v>205</v>
      </c>
      <c r="AA206" s="28">
        <v>1</v>
      </c>
      <c r="AB206" s="28">
        <v>1</v>
      </c>
      <c r="AC206" s="29">
        <v>1</v>
      </c>
      <c r="AD206" s="30">
        <v>12080</v>
      </c>
      <c r="BA206">
        <v>205</v>
      </c>
      <c r="BB206" s="28">
        <v>1</v>
      </c>
      <c r="BC206" s="28">
        <v>1</v>
      </c>
      <c r="BD206" s="29">
        <v>1</v>
      </c>
      <c r="BE206" s="30">
        <v>15330</v>
      </c>
    </row>
    <row r="207" spans="26:57">
      <c r="Z207" s="20">
        <v>206</v>
      </c>
      <c r="AA207" s="28">
        <v>1</v>
      </c>
      <c r="AB207" s="28">
        <v>1</v>
      </c>
      <c r="AC207" s="29">
        <v>1</v>
      </c>
      <c r="AD207" s="30">
        <v>12180</v>
      </c>
      <c r="BA207">
        <v>206</v>
      </c>
      <c r="BB207" s="28">
        <v>1</v>
      </c>
      <c r="BC207" s="28">
        <v>0</v>
      </c>
      <c r="BD207" s="29">
        <v>0.99</v>
      </c>
      <c r="BE207" s="30">
        <v>16550</v>
      </c>
    </row>
    <row r="208" spans="26:57">
      <c r="Z208" s="20">
        <v>207</v>
      </c>
      <c r="AA208" s="28">
        <v>1</v>
      </c>
      <c r="AB208" s="28">
        <v>1</v>
      </c>
      <c r="AC208" s="29">
        <v>1</v>
      </c>
      <c r="AD208" s="30">
        <v>11960</v>
      </c>
      <c r="BA208">
        <v>207</v>
      </c>
      <c r="BB208" s="28">
        <v>1</v>
      </c>
      <c r="BC208" s="28">
        <v>0</v>
      </c>
      <c r="BD208" s="29">
        <v>0.99</v>
      </c>
      <c r="BE208" s="30">
        <v>16210</v>
      </c>
    </row>
    <row r="209" spans="26:57">
      <c r="Z209" s="20">
        <v>208</v>
      </c>
      <c r="AA209" s="28">
        <v>1</v>
      </c>
      <c r="AB209" s="28">
        <v>1</v>
      </c>
      <c r="AC209" s="29">
        <v>1</v>
      </c>
      <c r="AD209" s="30">
        <v>13410</v>
      </c>
      <c r="BA209">
        <v>208</v>
      </c>
      <c r="BB209" s="28">
        <v>1</v>
      </c>
      <c r="BC209" s="28">
        <v>0</v>
      </c>
      <c r="BD209" s="29">
        <v>0.98</v>
      </c>
      <c r="BE209" s="30">
        <v>18790</v>
      </c>
    </row>
    <row r="210" spans="26:57">
      <c r="Z210" s="20">
        <v>209</v>
      </c>
      <c r="AA210" s="28">
        <v>1</v>
      </c>
      <c r="AB210" s="28">
        <v>1</v>
      </c>
      <c r="AC210" s="29">
        <v>1</v>
      </c>
      <c r="AD210" s="30">
        <v>12670</v>
      </c>
      <c r="BA210">
        <v>209</v>
      </c>
      <c r="BB210" s="28">
        <v>1</v>
      </c>
      <c r="BC210" s="28">
        <v>1</v>
      </c>
      <c r="BD210" s="29">
        <v>1</v>
      </c>
      <c r="BE210" s="30">
        <v>15280</v>
      </c>
    </row>
    <row r="211" spans="26:57">
      <c r="Z211" s="20">
        <v>210</v>
      </c>
      <c r="AA211" s="28">
        <v>1</v>
      </c>
      <c r="AB211" s="28">
        <v>1</v>
      </c>
      <c r="AC211" s="29">
        <v>1</v>
      </c>
      <c r="AD211" s="30">
        <v>12510</v>
      </c>
      <c r="BA211">
        <v>210</v>
      </c>
      <c r="BB211" s="28">
        <v>1</v>
      </c>
      <c r="BC211" s="28">
        <v>0</v>
      </c>
      <c r="BD211" s="29">
        <v>0.99</v>
      </c>
      <c r="BE211" s="30">
        <v>19550</v>
      </c>
    </row>
    <row r="212" spans="26:57">
      <c r="Z212" s="20">
        <v>211</v>
      </c>
      <c r="AA212" s="28">
        <v>1</v>
      </c>
      <c r="AB212" s="28">
        <v>1</v>
      </c>
      <c r="AC212" s="29">
        <v>1</v>
      </c>
      <c r="AD212" s="30">
        <v>13730</v>
      </c>
      <c r="BA212">
        <v>211</v>
      </c>
      <c r="BB212" s="28">
        <v>1</v>
      </c>
      <c r="BC212" s="28">
        <v>1</v>
      </c>
      <c r="BD212" s="29">
        <v>1</v>
      </c>
      <c r="BE212" s="30">
        <v>15740</v>
      </c>
    </row>
    <row r="213" spans="26:57">
      <c r="Z213" s="20">
        <v>212</v>
      </c>
      <c r="AA213" s="28">
        <v>1</v>
      </c>
      <c r="AB213" s="28">
        <v>1</v>
      </c>
      <c r="AC213" s="29">
        <v>1</v>
      </c>
      <c r="AD213" s="30">
        <v>12130</v>
      </c>
      <c r="BA213">
        <v>212</v>
      </c>
      <c r="BB213" s="28">
        <v>1</v>
      </c>
      <c r="BC213" s="28">
        <v>1</v>
      </c>
      <c r="BD213" s="29">
        <v>1</v>
      </c>
      <c r="BE213" s="30">
        <v>15940</v>
      </c>
    </row>
    <row r="214" spans="26:57">
      <c r="Z214" s="20">
        <v>213</v>
      </c>
      <c r="AA214" s="28">
        <v>1</v>
      </c>
      <c r="AB214" s="28">
        <v>1</v>
      </c>
      <c r="AC214" s="29">
        <v>1</v>
      </c>
      <c r="AD214" s="30">
        <v>13750</v>
      </c>
      <c r="BA214">
        <v>213</v>
      </c>
      <c r="BB214" s="28">
        <v>1</v>
      </c>
      <c r="BC214" s="28">
        <v>1</v>
      </c>
      <c r="BD214" s="29">
        <v>1</v>
      </c>
      <c r="BE214" s="30">
        <v>18630</v>
      </c>
    </row>
    <row r="215" spans="26:57">
      <c r="Z215" s="20">
        <v>214</v>
      </c>
      <c r="AA215" s="28">
        <v>1</v>
      </c>
      <c r="AB215" s="28">
        <v>1</v>
      </c>
      <c r="AC215" s="29">
        <v>1</v>
      </c>
      <c r="AD215" s="30">
        <v>14150</v>
      </c>
      <c r="BA215">
        <v>214</v>
      </c>
      <c r="BB215" s="28">
        <v>1</v>
      </c>
      <c r="BC215" s="28">
        <v>0</v>
      </c>
      <c r="BD215" s="29">
        <v>0.99</v>
      </c>
      <c r="BE215" s="30">
        <v>16260</v>
      </c>
    </row>
    <row r="216" spans="26:57">
      <c r="Z216" s="20">
        <v>215</v>
      </c>
      <c r="AA216" s="28">
        <v>1</v>
      </c>
      <c r="AB216" s="28">
        <v>1</v>
      </c>
      <c r="AC216" s="29">
        <v>1</v>
      </c>
      <c r="AD216" s="30">
        <v>12540</v>
      </c>
      <c r="BA216">
        <v>215</v>
      </c>
      <c r="BB216" s="28">
        <v>1</v>
      </c>
      <c r="BC216" s="28">
        <v>0</v>
      </c>
      <c r="BD216" s="29">
        <v>0.98</v>
      </c>
      <c r="BE216" s="30">
        <v>17550</v>
      </c>
    </row>
    <row r="217" spans="26:57">
      <c r="Z217" s="20">
        <v>216</v>
      </c>
      <c r="AA217" s="28">
        <v>1</v>
      </c>
      <c r="AB217" s="28">
        <v>1</v>
      </c>
      <c r="AC217" s="29">
        <v>1</v>
      </c>
      <c r="AD217" s="30">
        <v>15080</v>
      </c>
      <c r="BA217">
        <v>216</v>
      </c>
      <c r="BB217" s="28">
        <v>1</v>
      </c>
      <c r="BC217" s="28">
        <v>0</v>
      </c>
      <c r="BD217" s="29">
        <v>0.99</v>
      </c>
      <c r="BE217" s="30">
        <v>19430</v>
      </c>
    </row>
    <row r="218" spans="26:57">
      <c r="Z218" s="20">
        <v>217</v>
      </c>
      <c r="AA218" s="28">
        <v>1</v>
      </c>
      <c r="AB218" s="28">
        <v>1</v>
      </c>
      <c r="AC218" s="29">
        <v>1</v>
      </c>
      <c r="AD218" s="30">
        <v>11550</v>
      </c>
      <c r="BA218">
        <v>217</v>
      </c>
      <c r="BB218" s="28">
        <v>1</v>
      </c>
      <c r="BC218" s="28">
        <v>1</v>
      </c>
      <c r="BD218" s="29">
        <v>1</v>
      </c>
      <c r="BE218" s="30">
        <v>14800</v>
      </c>
    </row>
    <row r="219" spans="26:57">
      <c r="Z219" s="20">
        <v>218</v>
      </c>
      <c r="AA219" s="28">
        <v>1</v>
      </c>
      <c r="AB219" s="28">
        <v>1</v>
      </c>
      <c r="AC219" s="29">
        <v>1</v>
      </c>
      <c r="AD219" s="30">
        <v>13530</v>
      </c>
      <c r="BA219">
        <v>218</v>
      </c>
      <c r="BB219" s="28">
        <v>1</v>
      </c>
      <c r="BC219" s="28">
        <v>0</v>
      </c>
      <c r="BD219" s="29">
        <v>0.97</v>
      </c>
      <c r="BE219" s="30">
        <v>17280</v>
      </c>
    </row>
    <row r="220" spans="26:57">
      <c r="Z220" s="20">
        <v>219</v>
      </c>
      <c r="AA220" s="28">
        <v>1</v>
      </c>
      <c r="AB220" s="28">
        <v>1</v>
      </c>
      <c r="AC220" s="29">
        <v>1</v>
      </c>
      <c r="AD220" s="30">
        <v>12540</v>
      </c>
      <c r="BA220">
        <v>219</v>
      </c>
      <c r="BB220" s="28">
        <v>1</v>
      </c>
      <c r="BC220" s="28">
        <v>0</v>
      </c>
      <c r="BD220" s="29">
        <v>0.98</v>
      </c>
      <c r="BE220" s="30">
        <v>16980</v>
      </c>
    </row>
    <row r="221" spans="26:57">
      <c r="Z221" s="20">
        <v>220</v>
      </c>
      <c r="AA221" s="28">
        <v>1</v>
      </c>
      <c r="AB221" s="28">
        <v>1</v>
      </c>
      <c r="AC221" s="29">
        <v>1</v>
      </c>
      <c r="AD221" s="30">
        <v>11200</v>
      </c>
      <c r="BA221">
        <v>220</v>
      </c>
      <c r="BB221" s="28">
        <v>1</v>
      </c>
      <c r="BC221" s="28">
        <v>1</v>
      </c>
      <c r="BD221" s="29">
        <v>1</v>
      </c>
      <c r="BE221" s="30">
        <v>15190</v>
      </c>
    </row>
    <row r="222" spans="26:57">
      <c r="Z222" s="20">
        <v>221</v>
      </c>
      <c r="AA222" s="28">
        <v>1</v>
      </c>
      <c r="AB222" s="28">
        <v>1</v>
      </c>
      <c r="AC222" s="29">
        <v>1</v>
      </c>
      <c r="AD222" s="30">
        <v>12600</v>
      </c>
      <c r="BA222">
        <v>221</v>
      </c>
      <c r="BB222" s="28">
        <v>1</v>
      </c>
      <c r="BC222" s="28">
        <v>0</v>
      </c>
      <c r="BD222" s="29">
        <v>0.99</v>
      </c>
      <c r="BE222" s="30">
        <v>16740</v>
      </c>
    </row>
    <row r="223" spans="26:57">
      <c r="Z223" s="20">
        <v>222</v>
      </c>
      <c r="AA223" s="28">
        <v>1</v>
      </c>
      <c r="AB223" s="28">
        <v>1</v>
      </c>
      <c r="AC223" s="29">
        <v>1</v>
      </c>
      <c r="AD223" s="30">
        <v>13400</v>
      </c>
      <c r="BA223">
        <v>222</v>
      </c>
      <c r="BB223" s="28">
        <v>1</v>
      </c>
      <c r="BC223" s="28">
        <v>0</v>
      </c>
      <c r="BD223" s="29">
        <v>0.99</v>
      </c>
      <c r="BE223" s="30">
        <v>15200</v>
      </c>
    </row>
    <row r="224" spans="26:57">
      <c r="Z224" s="20">
        <v>223</v>
      </c>
      <c r="AA224" s="28">
        <v>1</v>
      </c>
      <c r="AB224" s="28">
        <v>1</v>
      </c>
      <c r="AC224" s="29">
        <v>1</v>
      </c>
      <c r="AD224" s="30">
        <v>13030</v>
      </c>
      <c r="BA224">
        <v>223</v>
      </c>
      <c r="BB224" s="28">
        <v>1</v>
      </c>
      <c r="BC224" s="28">
        <v>1</v>
      </c>
      <c r="BD224" s="29">
        <v>1</v>
      </c>
      <c r="BE224" s="30">
        <v>16910</v>
      </c>
    </row>
    <row r="225" spans="26:57">
      <c r="Z225" s="20">
        <v>224</v>
      </c>
      <c r="AA225" s="28">
        <v>1</v>
      </c>
      <c r="AB225" s="28">
        <v>1</v>
      </c>
      <c r="AC225" s="29">
        <v>1</v>
      </c>
      <c r="AD225" s="30">
        <v>10540</v>
      </c>
      <c r="BA225">
        <v>224</v>
      </c>
      <c r="BB225" s="28">
        <v>1</v>
      </c>
      <c r="BC225" s="28">
        <v>1</v>
      </c>
      <c r="BD225" s="29">
        <v>1</v>
      </c>
      <c r="BE225" s="30">
        <v>15280</v>
      </c>
    </row>
    <row r="226" spans="26:57">
      <c r="Z226" s="20">
        <v>225</v>
      </c>
      <c r="AA226" s="28">
        <v>1</v>
      </c>
      <c r="AB226" s="28">
        <v>1</v>
      </c>
      <c r="AC226" s="29">
        <v>1</v>
      </c>
      <c r="AD226" s="30">
        <v>11710</v>
      </c>
      <c r="BA226">
        <v>225</v>
      </c>
      <c r="BB226" s="28">
        <v>1</v>
      </c>
      <c r="BC226" s="28">
        <v>0</v>
      </c>
      <c r="BD226" s="29">
        <v>0.99</v>
      </c>
      <c r="BE226" s="30">
        <v>16290</v>
      </c>
    </row>
    <row r="227" spans="26:57">
      <c r="Z227" s="20">
        <v>226</v>
      </c>
      <c r="AA227" s="28">
        <v>1</v>
      </c>
      <c r="AB227" s="28">
        <v>1</v>
      </c>
      <c r="AC227" s="29">
        <v>1</v>
      </c>
      <c r="AD227" s="30">
        <v>11410</v>
      </c>
      <c r="BA227">
        <v>226</v>
      </c>
      <c r="BB227" s="28">
        <v>1</v>
      </c>
      <c r="BC227" s="28">
        <v>1</v>
      </c>
      <c r="BD227" s="29">
        <v>1</v>
      </c>
      <c r="BE227" s="30">
        <v>16610</v>
      </c>
    </row>
    <row r="228" spans="26:57">
      <c r="Z228" s="20">
        <v>227</v>
      </c>
      <c r="AA228" s="28">
        <v>1</v>
      </c>
      <c r="AB228" s="28">
        <v>1</v>
      </c>
      <c r="AC228" s="29">
        <v>1</v>
      </c>
      <c r="AD228" s="30">
        <v>11660</v>
      </c>
      <c r="BA228">
        <v>227</v>
      </c>
      <c r="BB228" s="28">
        <v>1</v>
      </c>
      <c r="BC228" s="28">
        <v>0</v>
      </c>
      <c r="BD228" s="29">
        <v>0.98</v>
      </c>
      <c r="BE228" s="30">
        <v>16570</v>
      </c>
    </row>
    <row r="229" spans="26:57">
      <c r="Z229" s="20">
        <v>228</v>
      </c>
      <c r="AA229" s="28">
        <v>1</v>
      </c>
      <c r="AB229" s="28">
        <v>1</v>
      </c>
      <c r="AC229" s="29">
        <v>1</v>
      </c>
      <c r="AD229" s="30">
        <v>12390</v>
      </c>
      <c r="BA229">
        <v>228</v>
      </c>
      <c r="BB229" s="28">
        <v>0</v>
      </c>
      <c r="BC229" s="28">
        <v>0</v>
      </c>
      <c r="BD229" s="29">
        <v>1</v>
      </c>
      <c r="BE229" s="30">
        <v>17700</v>
      </c>
    </row>
    <row r="230" spans="26:57">
      <c r="Z230" s="20">
        <v>229</v>
      </c>
      <c r="AA230" s="28">
        <v>1</v>
      </c>
      <c r="AB230" s="28">
        <v>1</v>
      </c>
      <c r="AC230" s="29">
        <v>1</v>
      </c>
      <c r="AD230" s="30">
        <v>11260</v>
      </c>
      <c r="BA230">
        <v>229</v>
      </c>
      <c r="BB230" s="28">
        <v>1</v>
      </c>
      <c r="BC230" s="28">
        <v>1</v>
      </c>
      <c r="BD230" s="29">
        <v>1</v>
      </c>
      <c r="BE230" s="30">
        <v>16360</v>
      </c>
    </row>
    <row r="231" spans="26:57">
      <c r="Z231" s="20">
        <v>230</v>
      </c>
      <c r="AA231" s="28">
        <v>1</v>
      </c>
      <c r="AB231" s="28">
        <v>1</v>
      </c>
      <c r="AC231" s="29">
        <v>1</v>
      </c>
      <c r="AD231" s="30">
        <v>14130</v>
      </c>
      <c r="BA231">
        <v>230</v>
      </c>
      <c r="BB231" s="28">
        <v>1</v>
      </c>
      <c r="BC231" s="28">
        <v>0</v>
      </c>
      <c r="BD231" s="29">
        <v>0.99</v>
      </c>
      <c r="BE231" s="30">
        <v>15840</v>
      </c>
    </row>
    <row r="232" spans="26:57">
      <c r="Z232" s="20">
        <v>231</v>
      </c>
      <c r="AA232" s="28">
        <v>1</v>
      </c>
      <c r="AB232" s="28">
        <v>1</v>
      </c>
      <c r="AC232" s="29">
        <v>1</v>
      </c>
      <c r="AD232" s="30">
        <v>13720</v>
      </c>
      <c r="BA232">
        <v>231</v>
      </c>
      <c r="BB232" s="28">
        <v>1</v>
      </c>
      <c r="BC232" s="28">
        <v>1</v>
      </c>
      <c r="BD232" s="29">
        <v>1</v>
      </c>
      <c r="BE232" s="30">
        <v>17390</v>
      </c>
    </row>
    <row r="233" spans="26:57">
      <c r="Z233" s="20">
        <v>232</v>
      </c>
      <c r="AA233" s="28">
        <v>1</v>
      </c>
      <c r="AB233" s="28">
        <v>1</v>
      </c>
      <c r="AC233" s="29">
        <v>1</v>
      </c>
      <c r="AD233" s="30">
        <v>12050</v>
      </c>
      <c r="BA233">
        <v>232</v>
      </c>
      <c r="BB233" s="28">
        <v>1</v>
      </c>
      <c r="BC233" s="28">
        <v>0</v>
      </c>
      <c r="BD233" s="29">
        <v>0.99</v>
      </c>
      <c r="BE233" s="30">
        <v>18310</v>
      </c>
    </row>
    <row r="234" spans="26:57">
      <c r="Z234" s="20">
        <v>233</v>
      </c>
      <c r="AA234" s="28">
        <v>1</v>
      </c>
      <c r="AB234" s="28">
        <v>1</v>
      </c>
      <c r="AC234" s="29">
        <v>1</v>
      </c>
      <c r="AD234" s="30">
        <v>12250</v>
      </c>
      <c r="BA234">
        <v>233</v>
      </c>
      <c r="BB234" s="28">
        <v>1</v>
      </c>
      <c r="BC234" s="28">
        <v>1</v>
      </c>
      <c r="BD234" s="29">
        <v>1</v>
      </c>
      <c r="BE234" s="30">
        <v>16930</v>
      </c>
    </row>
    <row r="235" spans="26:57">
      <c r="Z235" s="20">
        <v>234</v>
      </c>
      <c r="AA235" s="28">
        <v>1</v>
      </c>
      <c r="AB235" s="28">
        <v>1</v>
      </c>
      <c r="AC235" s="29">
        <v>1</v>
      </c>
      <c r="AD235" s="30">
        <v>13160</v>
      </c>
      <c r="BA235">
        <v>234</v>
      </c>
      <c r="BB235" s="28">
        <v>1</v>
      </c>
      <c r="BC235" s="28">
        <v>1</v>
      </c>
      <c r="BD235" s="29">
        <v>1</v>
      </c>
      <c r="BE235" s="30">
        <v>16040</v>
      </c>
    </row>
    <row r="236" spans="26:57">
      <c r="Z236" s="20">
        <v>235</v>
      </c>
      <c r="AA236" s="28">
        <v>1</v>
      </c>
      <c r="AB236" s="28">
        <v>1</v>
      </c>
      <c r="AC236" s="29">
        <v>1</v>
      </c>
      <c r="AD236" s="30">
        <v>11660</v>
      </c>
      <c r="BA236">
        <v>235</v>
      </c>
      <c r="BB236" s="28">
        <v>1</v>
      </c>
      <c r="BC236" s="28">
        <v>1</v>
      </c>
      <c r="BD236" s="29">
        <v>1</v>
      </c>
      <c r="BE236" s="30">
        <v>15790</v>
      </c>
    </row>
    <row r="237" spans="26:57">
      <c r="Z237" s="20">
        <v>236</v>
      </c>
      <c r="AA237" s="28">
        <v>1</v>
      </c>
      <c r="AB237" s="28">
        <v>1</v>
      </c>
      <c r="AC237" s="29">
        <v>1</v>
      </c>
      <c r="AD237" s="30">
        <v>13800</v>
      </c>
      <c r="BA237">
        <v>236</v>
      </c>
      <c r="BB237" s="28">
        <v>1</v>
      </c>
      <c r="BC237" s="28">
        <v>1</v>
      </c>
      <c r="BD237" s="29">
        <v>1</v>
      </c>
      <c r="BE237" s="30">
        <v>16970</v>
      </c>
    </row>
    <row r="238" spans="26:57">
      <c r="Z238" s="20">
        <v>237</v>
      </c>
      <c r="AA238" s="28">
        <v>1</v>
      </c>
      <c r="AB238" s="28">
        <v>1</v>
      </c>
      <c r="AC238" s="29">
        <v>1</v>
      </c>
      <c r="AD238" s="30">
        <v>12060</v>
      </c>
      <c r="BA238">
        <v>237</v>
      </c>
      <c r="BB238" s="28">
        <v>1</v>
      </c>
      <c r="BC238" s="28">
        <v>1</v>
      </c>
      <c r="BD238" s="29">
        <v>1</v>
      </c>
      <c r="BE238" s="30">
        <v>16250</v>
      </c>
    </row>
    <row r="239" spans="26:57">
      <c r="Z239" s="20">
        <v>238</v>
      </c>
      <c r="AA239" s="28">
        <v>1</v>
      </c>
      <c r="AB239" s="28">
        <v>1</v>
      </c>
      <c r="AC239" s="29">
        <v>1</v>
      </c>
      <c r="AD239" s="30">
        <v>11830</v>
      </c>
      <c r="BA239">
        <v>238</v>
      </c>
      <c r="BB239" s="28">
        <v>1</v>
      </c>
      <c r="BC239" s="28">
        <v>0</v>
      </c>
      <c r="BD239" s="29">
        <v>0.99</v>
      </c>
      <c r="BE239" s="30">
        <v>17450</v>
      </c>
    </row>
    <row r="240" spans="26:57">
      <c r="Z240" s="20">
        <v>239</v>
      </c>
      <c r="AA240" s="28">
        <v>1</v>
      </c>
      <c r="AB240" s="28">
        <v>1</v>
      </c>
      <c r="AC240" s="29">
        <v>1</v>
      </c>
      <c r="AD240" s="30">
        <v>12090</v>
      </c>
      <c r="BA240">
        <v>239</v>
      </c>
      <c r="BB240" s="28">
        <v>1</v>
      </c>
      <c r="BC240" s="28">
        <v>0</v>
      </c>
      <c r="BD240" s="29">
        <v>0.99</v>
      </c>
      <c r="BE240" s="30">
        <v>18320</v>
      </c>
    </row>
    <row r="241" spans="26:57">
      <c r="Z241" s="20">
        <v>240</v>
      </c>
      <c r="AA241" s="28">
        <v>1</v>
      </c>
      <c r="AB241" s="28">
        <v>1</v>
      </c>
      <c r="AC241" s="29">
        <v>1</v>
      </c>
      <c r="AD241" s="30">
        <v>13400</v>
      </c>
      <c r="BA241">
        <v>240</v>
      </c>
      <c r="BB241" s="28">
        <v>1</v>
      </c>
      <c r="BC241" s="28">
        <v>0</v>
      </c>
      <c r="BD241" s="29">
        <v>0.99</v>
      </c>
      <c r="BE241" s="30">
        <v>15710</v>
      </c>
    </row>
    <row r="242" spans="26:57">
      <c r="Z242" s="20">
        <v>241</v>
      </c>
      <c r="AA242" s="28">
        <v>1</v>
      </c>
      <c r="AB242" s="28">
        <v>1</v>
      </c>
      <c r="AC242" s="29">
        <v>1</v>
      </c>
      <c r="AD242" s="30">
        <v>12460</v>
      </c>
      <c r="BA242">
        <v>241</v>
      </c>
      <c r="BB242" s="28">
        <v>1</v>
      </c>
      <c r="BC242" s="28">
        <v>1</v>
      </c>
      <c r="BD242" s="29">
        <v>1</v>
      </c>
      <c r="BE242" s="30">
        <v>16240</v>
      </c>
    </row>
    <row r="243" spans="26:57">
      <c r="Z243" s="20">
        <v>242</v>
      </c>
      <c r="AA243" s="28">
        <v>1</v>
      </c>
      <c r="AB243" s="28">
        <v>1</v>
      </c>
      <c r="AC243" s="29">
        <v>1</v>
      </c>
      <c r="AD243" s="30">
        <v>13520</v>
      </c>
      <c r="BA243">
        <v>242</v>
      </c>
      <c r="BB243" s="28">
        <v>1</v>
      </c>
      <c r="BC243" s="28">
        <v>1</v>
      </c>
      <c r="BD243" s="29">
        <v>1</v>
      </c>
      <c r="BE243" s="30">
        <v>16520</v>
      </c>
    </row>
    <row r="244" spans="26:57">
      <c r="Z244" s="20">
        <v>243</v>
      </c>
      <c r="AA244" s="28">
        <v>1</v>
      </c>
      <c r="AB244" s="28">
        <v>1</v>
      </c>
      <c r="AC244" s="29">
        <v>1</v>
      </c>
      <c r="AD244" s="30">
        <v>12040</v>
      </c>
      <c r="BA244">
        <v>243</v>
      </c>
      <c r="BB244" s="28">
        <v>1</v>
      </c>
      <c r="BC244" s="28">
        <v>0</v>
      </c>
      <c r="BD244" s="29">
        <v>0.99</v>
      </c>
      <c r="BE244" s="30">
        <v>16870</v>
      </c>
    </row>
    <row r="245" spans="26:57">
      <c r="Z245" s="20">
        <v>244</v>
      </c>
      <c r="AA245" s="28">
        <v>1</v>
      </c>
      <c r="AB245" s="28">
        <v>1</v>
      </c>
      <c r="AC245" s="29">
        <v>1</v>
      </c>
      <c r="AD245" s="30">
        <v>12510</v>
      </c>
      <c r="BA245">
        <v>244</v>
      </c>
      <c r="BB245" s="28">
        <v>1</v>
      </c>
      <c r="BC245" s="28">
        <v>1</v>
      </c>
      <c r="BD245" s="29">
        <v>1</v>
      </c>
      <c r="BE245" s="30">
        <v>16880</v>
      </c>
    </row>
    <row r="246" spans="26:57">
      <c r="Z246" s="20">
        <v>245</v>
      </c>
      <c r="AA246" s="28">
        <v>1</v>
      </c>
      <c r="AB246" s="28">
        <v>1</v>
      </c>
      <c r="AC246" s="29">
        <v>1</v>
      </c>
      <c r="AD246" s="30">
        <v>13920</v>
      </c>
      <c r="BA246">
        <v>245</v>
      </c>
      <c r="BB246" s="28">
        <v>1</v>
      </c>
      <c r="BC246" s="28">
        <v>1</v>
      </c>
      <c r="BD246" s="29">
        <v>1</v>
      </c>
      <c r="BE246" s="30">
        <v>16930</v>
      </c>
    </row>
    <row r="247" spans="26:57">
      <c r="Z247" s="20">
        <v>246</v>
      </c>
      <c r="AA247" s="28">
        <v>1</v>
      </c>
      <c r="AB247" s="28">
        <v>1</v>
      </c>
      <c r="AC247" s="29">
        <v>1</v>
      </c>
      <c r="AD247" s="30">
        <v>12710</v>
      </c>
      <c r="BA247">
        <v>246</v>
      </c>
      <c r="BB247" s="28">
        <v>1</v>
      </c>
      <c r="BC247" s="28">
        <v>0</v>
      </c>
      <c r="BD247" s="29">
        <v>0.98</v>
      </c>
      <c r="BE247" s="30">
        <v>17050</v>
      </c>
    </row>
    <row r="248" spans="26:57">
      <c r="Z248" s="20">
        <v>247</v>
      </c>
      <c r="AA248" s="28">
        <v>1</v>
      </c>
      <c r="AB248" s="28">
        <v>1</v>
      </c>
      <c r="AC248" s="29">
        <v>1</v>
      </c>
      <c r="AD248" s="30">
        <v>12120</v>
      </c>
      <c r="BA248">
        <v>247</v>
      </c>
      <c r="BB248" s="28">
        <v>1</v>
      </c>
      <c r="BC248" s="28">
        <v>1</v>
      </c>
      <c r="BD248" s="29">
        <v>1</v>
      </c>
      <c r="BE248" s="30">
        <v>16790</v>
      </c>
    </row>
    <row r="249" spans="26:57">
      <c r="Z249" s="20">
        <v>248</v>
      </c>
      <c r="AA249" s="28">
        <v>1</v>
      </c>
      <c r="AB249" s="28">
        <v>1</v>
      </c>
      <c r="AC249" s="29">
        <v>1</v>
      </c>
      <c r="AD249" s="30">
        <v>12130</v>
      </c>
      <c r="BA249">
        <v>248</v>
      </c>
      <c r="BB249" s="28">
        <v>1</v>
      </c>
      <c r="BC249" s="28">
        <v>1</v>
      </c>
      <c r="BD249" s="29">
        <v>1</v>
      </c>
      <c r="BE249" s="30">
        <v>16420</v>
      </c>
    </row>
    <row r="250" spans="26:57">
      <c r="Z250" s="20">
        <v>249</v>
      </c>
      <c r="AA250" s="28">
        <v>1</v>
      </c>
      <c r="AB250" s="28">
        <v>1</v>
      </c>
      <c r="AC250" s="29">
        <v>1</v>
      </c>
      <c r="AD250" s="30">
        <v>13760</v>
      </c>
      <c r="BA250">
        <v>249</v>
      </c>
      <c r="BB250" s="28">
        <v>1</v>
      </c>
      <c r="BC250" s="28">
        <v>1</v>
      </c>
      <c r="BD250" s="29">
        <v>1</v>
      </c>
      <c r="BE250" s="30">
        <v>16790</v>
      </c>
    </row>
    <row r="251" spans="26:57">
      <c r="Z251" s="20">
        <v>250</v>
      </c>
      <c r="AA251" s="28">
        <v>1</v>
      </c>
      <c r="AB251" s="28">
        <v>1</v>
      </c>
      <c r="AC251" s="29">
        <v>1</v>
      </c>
      <c r="AD251" s="30">
        <v>11930</v>
      </c>
      <c r="BA251">
        <v>250</v>
      </c>
      <c r="BB251" s="28">
        <v>1</v>
      </c>
      <c r="BC251" s="28">
        <v>0</v>
      </c>
      <c r="BD251" s="29">
        <v>0.99</v>
      </c>
      <c r="BE251" s="30">
        <v>16850</v>
      </c>
    </row>
    <row r="252" spans="26:57">
      <c r="Z252" s="20">
        <v>251</v>
      </c>
      <c r="AA252" s="28">
        <v>1</v>
      </c>
      <c r="AB252" s="28">
        <v>1</v>
      </c>
      <c r="AC252" s="29">
        <v>1</v>
      </c>
      <c r="AD252" s="30">
        <v>13780</v>
      </c>
      <c r="BA252">
        <v>251</v>
      </c>
      <c r="BB252" s="28">
        <v>1</v>
      </c>
      <c r="BC252" s="28">
        <v>0</v>
      </c>
      <c r="BD252" s="29">
        <v>0.99</v>
      </c>
      <c r="BE252" s="30">
        <v>17520</v>
      </c>
    </row>
    <row r="253" spans="26:57">
      <c r="Z253" s="20">
        <v>252</v>
      </c>
      <c r="AA253" s="28">
        <v>1</v>
      </c>
      <c r="AB253" s="28">
        <v>1</v>
      </c>
      <c r="AC253" s="29">
        <v>1</v>
      </c>
      <c r="AD253" s="30">
        <v>12900</v>
      </c>
      <c r="BA253">
        <v>252</v>
      </c>
      <c r="BB253" s="28">
        <v>1</v>
      </c>
      <c r="BC253" s="28">
        <v>0</v>
      </c>
      <c r="BD253" s="29">
        <v>0.99</v>
      </c>
      <c r="BE253" s="30">
        <v>18060</v>
      </c>
    </row>
    <row r="254" spans="26:57">
      <c r="Z254" s="20">
        <v>253</v>
      </c>
      <c r="AA254" s="28">
        <v>1</v>
      </c>
      <c r="AB254" s="28">
        <v>1</v>
      </c>
      <c r="AC254" s="29">
        <v>1</v>
      </c>
      <c r="AD254" s="30">
        <v>12990</v>
      </c>
      <c r="BA254">
        <v>253</v>
      </c>
      <c r="BB254" s="28">
        <v>1</v>
      </c>
      <c r="BC254" s="28">
        <v>1</v>
      </c>
      <c r="BD254" s="29">
        <v>1</v>
      </c>
      <c r="BE254" s="30">
        <v>17100</v>
      </c>
    </row>
    <row r="255" spans="26:57">
      <c r="Z255" s="20">
        <v>254</v>
      </c>
      <c r="AA255" s="28">
        <v>1</v>
      </c>
      <c r="AB255" s="28">
        <v>1</v>
      </c>
      <c r="AC255" s="29">
        <v>1</v>
      </c>
      <c r="AD255" s="30">
        <v>13940</v>
      </c>
      <c r="BA255">
        <v>254</v>
      </c>
      <c r="BB255" s="28">
        <v>1</v>
      </c>
      <c r="BC255" s="28">
        <v>1</v>
      </c>
      <c r="BD255" s="29">
        <v>1</v>
      </c>
      <c r="BE255" s="30">
        <v>18230</v>
      </c>
    </row>
    <row r="256" spans="26:57">
      <c r="Z256" s="20">
        <v>255</v>
      </c>
      <c r="AA256" s="28">
        <v>1</v>
      </c>
      <c r="AB256" s="28">
        <v>1</v>
      </c>
      <c r="AC256" s="29">
        <v>1</v>
      </c>
      <c r="AD256" s="30">
        <v>12280</v>
      </c>
      <c r="BA256">
        <v>255</v>
      </c>
      <c r="BB256" s="28">
        <v>1</v>
      </c>
      <c r="BC256" s="28">
        <v>0</v>
      </c>
      <c r="BD256" s="29">
        <v>0.99</v>
      </c>
      <c r="BE256" s="30">
        <v>19690</v>
      </c>
    </row>
    <row r="257" spans="26:57">
      <c r="Z257" s="20">
        <v>256</v>
      </c>
      <c r="AA257" s="28">
        <v>1</v>
      </c>
      <c r="AB257" s="28">
        <v>1</v>
      </c>
      <c r="AC257" s="29">
        <v>1</v>
      </c>
      <c r="AD257" s="30">
        <v>13090</v>
      </c>
      <c r="BA257">
        <v>256</v>
      </c>
      <c r="BB257" s="28">
        <v>1</v>
      </c>
      <c r="BC257" s="28">
        <v>0</v>
      </c>
      <c r="BD257" s="29">
        <v>0.99</v>
      </c>
      <c r="BE257" s="30">
        <v>15560</v>
      </c>
    </row>
    <row r="258" spans="26:57">
      <c r="Z258" s="20">
        <v>257</v>
      </c>
      <c r="AA258" s="28">
        <v>1</v>
      </c>
      <c r="AB258" s="28">
        <v>1</v>
      </c>
      <c r="AC258" s="29">
        <v>1</v>
      </c>
      <c r="AD258" s="30">
        <v>11890</v>
      </c>
      <c r="BA258">
        <v>257</v>
      </c>
      <c r="BB258" s="28">
        <v>1</v>
      </c>
      <c r="BC258" s="28">
        <v>0</v>
      </c>
      <c r="BD258" s="29">
        <v>0.98</v>
      </c>
      <c r="BE258" s="30">
        <v>16450</v>
      </c>
    </row>
    <row r="259" spans="26:57">
      <c r="Z259" s="20">
        <v>258</v>
      </c>
      <c r="AA259" s="28">
        <v>1</v>
      </c>
      <c r="AB259" s="28">
        <v>1</v>
      </c>
      <c r="AC259" s="29">
        <v>1</v>
      </c>
      <c r="AD259" s="30">
        <v>13740</v>
      </c>
      <c r="BA259">
        <v>258</v>
      </c>
      <c r="BB259" s="28">
        <v>1</v>
      </c>
      <c r="BC259" s="28">
        <v>1</v>
      </c>
      <c r="BD259" s="29">
        <v>1</v>
      </c>
      <c r="BE259" s="30">
        <v>17590</v>
      </c>
    </row>
    <row r="260" spans="26:57">
      <c r="Z260" s="20">
        <v>259</v>
      </c>
      <c r="AA260" s="28">
        <v>1</v>
      </c>
      <c r="AB260" s="28">
        <v>1</v>
      </c>
      <c r="AC260" s="29">
        <v>1</v>
      </c>
      <c r="AD260" s="30">
        <v>12830</v>
      </c>
      <c r="BA260">
        <v>259</v>
      </c>
      <c r="BB260" s="28">
        <v>1</v>
      </c>
      <c r="BC260" s="28">
        <v>0</v>
      </c>
      <c r="BD260" s="29">
        <v>0.95</v>
      </c>
      <c r="BE260" s="30">
        <v>17840</v>
      </c>
    </row>
    <row r="261" spans="26:57">
      <c r="Z261" s="20">
        <v>260</v>
      </c>
      <c r="AA261" s="28">
        <v>1</v>
      </c>
      <c r="AB261" s="28">
        <v>1</v>
      </c>
      <c r="AC261" s="29">
        <v>1</v>
      </c>
      <c r="AD261" s="30">
        <v>12310</v>
      </c>
      <c r="BA261">
        <v>260</v>
      </c>
      <c r="BB261" s="28">
        <v>1</v>
      </c>
      <c r="BC261" s="28">
        <v>0</v>
      </c>
      <c r="BD261" s="29">
        <v>0.99</v>
      </c>
      <c r="BE261" s="30">
        <v>17930</v>
      </c>
    </row>
    <row r="262" spans="26:57">
      <c r="Z262" s="20">
        <v>261</v>
      </c>
      <c r="AA262" s="28">
        <v>1</v>
      </c>
      <c r="AB262" s="28">
        <v>1</v>
      </c>
      <c r="AC262" s="29">
        <v>1</v>
      </c>
      <c r="AD262" s="30">
        <v>14360</v>
      </c>
      <c r="BA262">
        <v>261</v>
      </c>
      <c r="BB262" s="28">
        <v>1</v>
      </c>
      <c r="BC262" s="28">
        <v>1</v>
      </c>
      <c r="BD262" s="29">
        <v>1</v>
      </c>
      <c r="BE262" s="30">
        <v>15860</v>
      </c>
    </row>
    <row r="263" spans="26:57">
      <c r="Z263" s="20">
        <v>262</v>
      </c>
      <c r="AA263" s="28">
        <v>1</v>
      </c>
      <c r="AB263" s="28">
        <v>1</v>
      </c>
      <c r="AC263" s="29">
        <v>1</v>
      </c>
      <c r="AD263" s="30">
        <v>13160</v>
      </c>
      <c r="BA263">
        <v>262</v>
      </c>
      <c r="BB263" s="28">
        <v>1</v>
      </c>
      <c r="BC263" s="28">
        <v>1</v>
      </c>
      <c r="BD263" s="29">
        <v>1</v>
      </c>
      <c r="BE263" s="30">
        <v>18160</v>
      </c>
    </row>
    <row r="264" spans="26:57">
      <c r="Z264" s="20">
        <v>263</v>
      </c>
      <c r="AA264" s="28">
        <v>1</v>
      </c>
      <c r="AB264" s="28">
        <v>1</v>
      </c>
      <c r="AC264" s="29">
        <v>1</v>
      </c>
      <c r="AD264" s="30">
        <v>11960</v>
      </c>
      <c r="BA264">
        <v>263</v>
      </c>
      <c r="BB264" s="28">
        <v>1</v>
      </c>
      <c r="BC264" s="28">
        <v>0</v>
      </c>
      <c r="BD264" s="29">
        <v>0.99</v>
      </c>
      <c r="BE264" s="30">
        <v>16400</v>
      </c>
    </row>
    <row r="265" spans="26:57">
      <c r="Z265" s="20">
        <v>264</v>
      </c>
      <c r="AA265" s="28">
        <v>1</v>
      </c>
      <c r="AB265" s="28">
        <v>1</v>
      </c>
      <c r="AC265" s="29">
        <v>1</v>
      </c>
      <c r="AD265" s="30">
        <v>11330</v>
      </c>
      <c r="BA265">
        <v>264</v>
      </c>
      <c r="BB265" s="28">
        <v>1</v>
      </c>
      <c r="BC265" s="28">
        <v>1</v>
      </c>
      <c r="BD265" s="29">
        <v>1</v>
      </c>
      <c r="BE265" s="30">
        <v>15290</v>
      </c>
    </row>
    <row r="266" spans="26:57">
      <c r="Z266" s="20">
        <v>265</v>
      </c>
      <c r="AA266" s="28">
        <v>1</v>
      </c>
      <c r="AB266" s="28">
        <v>1</v>
      </c>
      <c r="AC266" s="29">
        <v>1</v>
      </c>
      <c r="AD266" s="30">
        <v>12720</v>
      </c>
      <c r="BA266">
        <v>265</v>
      </c>
      <c r="BB266" s="28">
        <v>1</v>
      </c>
      <c r="BC266" s="28">
        <v>1</v>
      </c>
      <c r="BD266" s="29">
        <v>1</v>
      </c>
      <c r="BE266" s="30">
        <v>19130</v>
      </c>
    </row>
    <row r="267" spans="26:57">
      <c r="Z267" s="20">
        <v>266</v>
      </c>
      <c r="AA267" s="28">
        <v>1</v>
      </c>
      <c r="AB267" s="28">
        <v>1</v>
      </c>
      <c r="AC267" s="29">
        <v>1</v>
      </c>
      <c r="AD267" s="30">
        <v>12010</v>
      </c>
      <c r="BA267">
        <v>266</v>
      </c>
      <c r="BB267" s="28">
        <v>1</v>
      </c>
      <c r="BC267" s="28">
        <v>0</v>
      </c>
      <c r="BD267" s="29">
        <v>0.99</v>
      </c>
      <c r="BE267" s="30">
        <v>17570</v>
      </c>
    </row>
    <row r="268" spans="26:57">
      <c r="Z268" s="20">
        <v>267</v>
      </c>
      <c r="AA268" s="28">
        <v>1</v>
      </c>
      <c r="AB268" s="28">
        <v>1</v>
      </c>
      <c r="AC268" s="29">
        <v>1</v>
      </c>
      <c r="AD268" s="30">
        <v>13680</v>
      </c>
      <c r="BA268">
        <v>267</v>
      </c>
      <c r="BB268" s="28">
        <v>1</v>
      </c>
      <c r="BC268" s="28">
        <v>1</v>
      </c>
      <c r="BD268" s="29">
        <v>1</v>
      </c>
      <c r="BE268" s="30">
        <v>18760</v>
      </c>
    </row>
    <row r="269" spans="26:57">
      <c r="Z269" s="20">
        <v>268</v>
      </c>
      <c r="AA269" s="28">
        <v>1</v>
      </c>
      <c r="AB269" s="28">
        <v>1</v>
      </c>
      <c r="AC269" s="29">
        <v>1</v>
      </c>
      <c r="AD269" s="30">
        <v>13470</v>
      </c>
      <c r="BA269">
        <v>268</v>
      </c>
      <c r="BB269" s="28">
        <v>1</v>
      </c>
      <c r="BC269" s="28">
        <v>1</v>
      </c>
      <c r="BD269" s="29">
        <v>1</v>
      </c>
      <c r="BE269" s="30">
        <v>15740</v>
      </c>
    </row>
    <row r="270" spans="26:57">
      <c r="Z270" s="20">
        <v>269</v>
      </c>
      <c r="AA270" s="28">
        <v>1</v>
      </c>
      <c r="AB270" s="28">
        <v>1</v>
      </c>
      <c r="AC270" s="29">
        <v>1</v>
      </c>
      <c r="AD270" s="30">
        <v>10020</v>
      </c>
      <c r="BA270">
        <v>269</v>
      </c>
      <c r="BB270" s="28">
        <v>1</v>
      </c>
      <c r="BC270" s="28">
        <v>1</v>
      </c>
      <c r="BD270" s="29">
        <v>1</v>
      </c>
      <c r="BE270" s="30">
        <v>17030</v>
      </c>
    </row>
    <row r="271" spans="26:57">
      <c r="Z271" s="20">
        <v>270</v>
      </c>
      <c r="AA271" s="28">
        <v>1</v>
      </c>
      <c r="AB271" s="28">
        <v>1</v>
      </c>
      <c r="AC271" s="29">
        <v>1</v>
      </c>
      <c r="AD271" s="30">
        <v>11500</v>
      </c>
      <c r="BA271">
        <v>270</v>
      </c>
      <c r="BB271" s="28">
        <v>1</v>
      </c>
      <c r="BC271" s="28">
        <v>0</v>
      </c>
      <c r="BD271" s="29">
        <v>0.99</v>
      </c>
      <c r="BE271" s="30">
        <v>16780</v>
      </c>
    </row>
    <row r="272" spans="26:57">
      <c r="Z272" s="20">
        <v>271</v>
      </c>
      <c r="AA272" s="28">
        <v>1</v>
      </c>
      <c r="AB272" s="28">
        <v>1</v>
      </c>
      <c r="AC272" s="29">
        <v>1</v>
      </c>
      <c r="AD272" s="30">
        <v>14150</v>
      </c>
      <c r="BA272">
        <v>271</v>
      </c>
      <c r="BB272" s="28">
        <v>1</v>
      </c>
      <c r="BC272" s="28">
        <v>0</v>
      </c>
      <c r="BD272" s="29">
        <v>0.99</v>
      </c>
      <c r="BE272" s="30">
        <v>15680</v>
      </c>
    </row>
    <row r="273" spans="26:57">
      <c r="Z273" s="20">
        <v>272</v>
      </c>
      <c r="AA273" s="28">
        <v>1</v>
      </c>
      <c r="AB273" s="28">
        <v>1</v>
      </c>
      <c r="AC273" s="29">
        <v>1</v>
      </c>
      <c r="AD273" s="30">
        <v>11810</v>
      </c>
      <c r="BA273">
        <v>272</v>
      </c>
      <c r="BB273" s="28">
        <v>1</v>
      </c>
      <c r="BC273" s="28">
        <v>0</v>
      </c>
      <c r="BD273" s="29">
        <v>0.97</v>
      </c>
      <c r="BE273" s="30">
        <v>19150</v>
      </c>
    </row>
    <row r="274" spans="26:57">
      <c r="Z274" s="20">
        <v>273</v>
      </c>
      <c r="AA274" s="28">
        <v>1</v>
      </c>
      <c r="AB274" s="28">
        <v>1</v>
      </c>
      <c r="AC274" s="29">
        <v>1</v>
      </c>
      <c r="AD274" s="30">
        <v>12910</v>
      </c>
      <c r="BA274">
        <v>273</v>
      </c>
      <c r="BB274" s="28">
        <v>1</v>
      </c>
      <c r="BC274" s="28">
        <v>0</v>
      </c>
      <c r="BD274" s="29">
        <v>0.99</v>
      </c>
      <c r="BE274" s="30">
        <v>17580</v>
      </c>
    </row>
    <row r="275" spans="26:57">
      <c r="Z275" s="20">
        <v>274</v>
      </c>
      <c r="AA275" s="28">
        <v>1</v>
      </c>
      <c r="AB275" s="28">
        <v>1</v>
      </c>
      <c r="AC275" s="29">
        <v>1</v>
      </c>
      <c r="AD275" s="30">
        <v>10640</v>
      </c>
      <c r="BA275">
        <v>274</v>
      </c>
      <c r="BB275" s="28">
        <v>1</v>
      </c>
      <c r="BC275" s="28">
        <v>0</v>
      </c>
      <c r="BD275" s="29">
        <v>0.99</v>
      </c>
      <c r="BE275" s="30">
        <v>17490</v>
      </c>
    </row>
    <row r="276" spans="26:57">
      <c r="Z276" s="20">
        <v>275</v>
      </c>
      <c r="AA276" s="28">
        <v>1</v>
      </c>
      <c r="AB276" s="28">
        <v>1</v>
      </c>
      <c r="AC276" s="29">
        <v>1</v>
      </c>
      <c r="AD276" s="30">
        <v>12880</v>
      </c>
      <c r="BA276">
        <v>275</v>
      </c>
      <c r="BB276" s="28">
        <v>1</v>
      </c>
      <c r="BC276" s="28">
        <v>0</v>
      </c>
      <c r="BD276" s="29">
        <v>0.99</v>
      </c>
      <c r="BE276" s="30">
        <v>16210</v>
      </c>
    </row>
    <row r="277" spans="26:57">
      <c r="Z277" s="20">
        <v>276</v>
      </c>
      <c r="AA277" s="28">
        <v>0</v>
      </c>
      <c r="AB277" s="28">
        <v>0</v>
      </c>
      <c r="AC277" s="29">
        <v>1</v>
      </c>
      <c r="AD277" s="30">
        <v>13220</v>
      </c>
      <c r="BA277">
        <v>276</v>
      </c>
      <c r="BB277" s="28">
        <v>1</v>
      </c>
      <c r="BC277" s="28">
        <v>1</v>
      </c>
      <c r="BD277" s="29">
        <v>1</v>
      </c>
      <c r="BE277" s="30">
        <v>16790</v>
      </c>
    </row>
    <row r="278" spans="26:57">
      <c r="Z278" s="20">
        <v>277</v>
      </c>
      <c r="AA278" s="28">
        <v>1</v>
      </c>
      <c r="AB278" s="28">
        <v>1</v>
      </c>
      <c r="AC278" s="29">
        <v>1</v>
      </c>
      <c r="AD278" s="30">
        <v>12080</v>
      </c>
      <c r="BA278">
        <v>277</v>
      </c>
      <c r="BB278" s="28">
        <v>1</v>
      </c>
      <c r="BC278" s="28">
        <v>1</v>
      </c>
      <c r="BD278" s="29">
        <v>1</v>
      </c>
      <c r="BE278" s="30">
        <v>15160</v>
      </c>
    </row>
    <row r="279" spans="26:57">
      <c r="Z279" s="20">
        <v>278</v>
      </c>
      <c r="AA279" s="28">
        <v>1</v>
      </c>
      <c r="AB279" s="28">
        <v>1</v>
      </c>
      <c r="AC279" s="29">
        <v>1</v>
      </c>
      <c r="AD279" s="30">
        <v>12380</v>
      </c>
      <c r="BA279">
        <v>278</v>
      </c>
      <c r="BB279" s="28">
        <v>1</v>
      </c>
      <c r="BC279" s="28">
        <v>1</v>
      </c>
      <c r="BD279" s="29">
        <v>1</v>
      </c>
      <c r="BE279" s="30">
        <v>16360</v>
      </c>
    </row>
    <row r="280" spans="26:57">
      <c r="Z280" s="20">
        <v>279</v>
      </c>
      <c r="AA280" s="28">
        <v>1</v>
      </c>
      <c r="AB280" s="28">
        <v>1</v>
      </c>
      <c r="AC280" s="29">
        <v>1</v>
      </c>
      <c r="AD280" s="30">
        <v>14400</v>
      </c>
      <c r="BA280">
        <v>279</v>
      </c>
      <c r="BB280" s="28">
        <v>1</v>
      </c>
      <c r="BC280" s="28">
        <v>1</v>
      </c>
      <c r="BD280" s="29">
        <v>1</v>
      </c>
      <c r="BE280" s="30">
        <v>16560</v>
      </c>
    </row>
    <row r="281" spans="26:57">
      <c r="Z281" s="20">
        <v>280</v>
      </c>
      <c r="AA281" s="28">
        <v>1</v>
      </c>
      <c r="AB281" s="28">
        <v>1</v>
      </c>
      <c r="AC281" s="29">
        <v>1</v>
      </c>
      <c r="AD281" s="30">
        <v>12410</v>
      </c>
      <c r="BA281">
        <v>280</v>
      </c>
      <c r="BB281" s="28">
        <v>1</v>
      </c>
      <c r="BC281" s="28">
        <v>1</v>
      </c>
      <c r="BD281" s="29">
        <v>1</v>
      </c>
      <c r="BE281" s="30">
        <v>16050</v>
      </c>
    </row>
    <row r="282" spans="26:57">
      <c r="Z282" s="20">
        <v>281</v>
      </c>
      <c r="AA282" s="28">
        <v>1</v>
      </c>
      <c r="AB282" s="28">
        <v>1</v>
      </c>
      <c r="AC282" s="29">
        <v>1</v>
      </c>
      <c r="AD282" s="30">
        <v>11120</v>
      </c>
      <c r="BA282">
        <v>281</v>
      </c>
      <c r="BB282" s="28">
        <v>1</v>
      </c>
      <c r="BC282" s="28">
        <v>0</v>
      </c>
      <c r="BD282" s="29">
        <v>0.99</v>
      </c>
      <c r="BE282" s="30">
        <v>17350</v>
      </c>
    </row>
    <row r="283" spans="26:57">
      <c r="Z283" s="20">
        <v>282</v>
      </c>
      <c r="AA283" s="28">
        <v>1</v>
      </c>
      <c r="AB283" s="28">
        <v>1</v>
      </c>
      <c r="AC283" s="29">
        <v>1</v>
      </c>
      <c r="AD283" s="30">
        <v>10550</v>
      </c>
      <c r="BA283">
        <v>282</v>
      </c>
      <c r="BB283" s="28">
        <v>1</v>
      </c>
      <c r="BC283" s="28">
        <v>1</v>
      </c>
      <c r="BD283" s="29">
        <v>1</v>
      </c>
      <c r="BE283" s="30">
        <v>16660</v>
      </c>
    </row>
    <row r="284" spans="26:57">
      <c r="Z284" s="20">
        <v>283</v>
      </c>
      <c r="AA284" s="28">
        <v>1</v>
      </c>
      <c r="AB284" s="28">
        <v>1</v>
      </c>
      <c r="AC284" s="29">
        <v>1</v>
      </c>
      <c r="AD284" s="30">
        <v>12120</v>
      </c>
      <c r="BA284">
        <v>283</v>
      </c>
      <c r="BB284" s="28">
        <v>1</v>
      </c>
      <c r="BC284" s="28">
        <v>1</v>
      </c>
      <c r="BD284" s="29">
        <v>1</v>
      </c>
      <c r="BE284" s="30">
        <v>16560</v>
      </c>
    </row>
    <row r="285" spans="26:57">
      <c r="Z285" s="20">
        <v>284</v>
      </c>
      <c r="AA285" s="28">
        <v>1</v>
      </c>
      <c r="AB285" s="28">
        <v>1</v>
      </c>
      <c r="AC285" s="29">
        <v>1</v>
      </c>
      <c r="AD285" s="30">
        <v>12530</v>
      </c>
      <c r="BA285">
        <v>284</v>
      </c>
      <c r="BB285" s="28">
        <v>1</v>
      </c>
      <c r="BC285" s="28">
        <v>1</v>
      </c>
      <c r="BD285" s="29">
        <v>1</v>
      </c>
      <c r="BE285" s="30">
        <v>18060</v>
      </c>
    </row>
    <row r="286" spans="26:57">
      <c r="Z286" s="20">
        <v>285</v>
      </c>
      <c r="AA286" s="28">
        <v>1</v>
      </c>
      <c r="AB286" s="28">
        <v>1</v>
      </c>
      <c r="AC286" s="29">
        <v>1</v>
      </c>
      <c r="AD286" s="30">
        <v>12340</v>
      </c>
      <c r="BA286">
        <v>285</v>
      </c>
      <c r="BB286" s="28">
        <v>1</v>
      </c>
      <c r="BC286" s="28">
        <v>1</v>
      </c>
      <c r="BD286" s="29">
        <v>1</v>
      </c>
      <c r="BE286" s="30">
        <v>16590</v>
      </c>
    </row>
    <row r="287" spans="26:57">
      <c r="Z287" s="20">
        <v>286</v>
      </c>
      <c r="AA287" s="28">
        <v>1</v>
      </c>
      <c r="AB287" s="28">
        <v>1</v>
      </c>
      <c r="AC287" s="29">
        <v>1</v>
      </c>
      <c r="AD287" s="30">
        <v>11640</v>
      </c>
      <c r="BA287">
        <v>286</v>
      </c>
      <c r="BB287" s="28">
        <v>1</v>
      </c>
      <c r="BC287" s="28">
        <v>0</v>
      </c>
      <c r="BD287" s="29">
        <v>0.98</v>
      </c>
      <c r="BE287" s="30">
        <v>15610</v>
      </c>
    </row>
    <row r="288" spans="26:57">
      <c r="Z288" s="20">
        <v>287</v>
      </c>
      <c r="AA288" s="28">
        <v>1</v>
      </c>
      <c r="AB288" s="28">
        <v>1</v>
      </c>
      <c r="AC288" s="29">
        <v>1</v>
      </c>
      <c r="AD288" s="30">
        <v>13310</v>
      </c>
      <c r="BA288">
        <v>287</v>
      </c>
      <c r="BB288" s="28">
        <v>1</v>
      </c>
      <c r="BC288" s="28">
        <v>0</v>
      </c>
      <c r="BD288" s="29">
        <v>0.97</v>
      </c>
      <c r="BE288" s="30">
        <v>17410</v>
      </c>
    </row>
    <row r="289" spans="26:57">
      <c r="Z289" s="20">
        <v>288</v>
      </c>
      <c r="AA289" s="28">
        <v>1</v>
      </c>
      <c r="AB289" s="28">
        <v>1</v>
      </c>
      <c r="AC289" s="29">
        <v>1</v>
      </c>
      <c r="AD289" s="30">
        <v>12350</v>
      </c>
      <c r="BA289">
        <v>288</v>
      </c>
      <c r="BB289" s="28">
        <v>1</v>
      </c>
      <c r="BC289" s="28">
        <v>1</v>
      </c>
      <c r="BD289" s="29">
        <v>1</v>
      </c>
      <c r="BE289" s="30">
        <v>15990</v>
      </c>
    </row>
    <row r="290" spans="26:57">
      <c r="Z290" s="20">
        <v>289</v>
      </c>
      <c r="AA290" s="28">
        <v>1</v>
      </c>
      <c r="AB290" s="28">
        <v>1</v>
      </c>
      <c r="AC290" s="29">
        <v>1</v>
      </c>
      <c r="AD290" s="30">
        <v>12910</v>
      </c>
      <c r="BA290">
        <v>289</v>
      </c>
      <c r="BB290" s="28">
        <v>1</v>
      </c>
      <c r="BC290" s="28">
        <v>1</v>
      </c>
      <c r="BD290" s="29">
        <v>1</v>
      </c>
      <c r="BE290" s="30">
        <v>19040</v>
      </c>
    </row>
    <row r="291" spans="26:57">
      <c r="Z291" s="20">
        <v>290</v>
      </c>
      <c r="AA291" s="28">
        <v>1</v>
      </c>
      <c r="AB291" s="28">
        <v>1</v>
      </c>
      <c r="AC291" s="29">
        <v>1</v>
      </c>
      <c r="AD291" s="30">
        <v>12710</v>
      </c>
      <c r="BA291">
        <v>290</v>
      </c>
      <c r="BB291" s="28">
        <v>1</v>
      </c>
      <c r="BC291" s="28">
        <v>1</v>
      </c>
      <c r="BD291" s="29">
        <v>1</v>
      </c>
      <c r="BE291" s="30">
        <v>17060</v>
      </c>
    </row>
    <row r="292" spans="26:57">
      <c r="Z292" s="20">
        <v>291</v>
      </c>
      <c r="AA292" s="28">
        <v>1</v>
      </c>
      <c r="AB292" s="28">
        <v>1</v>
      </c>
      <c r="AC292" s="29">
        <v>1</v>
      </c>
      <c r="AD292" s="30">
        <v>12080</v>
      </c>
      <c r="BA292">
        <v>291</v>
      </c>
      <c r="BB292" s="28">
        <v>1</v>
      </c>
      <c r="BC292" s="28">
        <v>1</v>
      </c>
      <c r="BD292" s="29">
        <v>1</v>
      </c>
      <c r="BE292" s="30">
        <v>18890</v>
      </c>
    </row>
    <row r="293" spans="26:57">
      <c r="Z293" s="20">
        <v>292</v>
      </c>
      <c r="AA293" s="28">
        <v>1</v>
      </c>
      <c r="AB293" s="28">
        <v>1</v>
      </c>
      <c r="AC293" s="29">
        <v>1</v>
      </c>
      <c r="AD293" s="30">
        <v>13040</v>
      </c>
      <c r="BA293">
        <v>292</v>
      </c>
      <c r="BB293" s="28">
        <v>1</v>
      </c>
      <c r="BC293" s="28">
        <v>0</v>
      </c>
      <c r="BD293" s="29">
        <v>0.95</v>
      </c>
      <c r="BE293" s="30">
        <v>17670</v>
      </c>
    </row>
    <row r="294" spans="26:57">
      <c r="Z294" s="20">
        <v>293</v>
      </c>
      <c r="AA294" s="28">
        <v>1</v>
      </c>
      <c r="AB294" s="28">
        <v>1</v>
      </c>
      <c r="AC294" s="29">
        <v>1</v>
      </c>
      <c r="AD294" s="30">
        <v>14400</v>
      </c>
      <c r="BA294">
        <v>293</v>
      </c>
      <c r="BB294" s="28">
        <v>1</v>
      </c>
      <c r="BC294" s="28">
        <v>1</v>
      </c>
      <c r="BD294" s="29">
        <v>1</v>
      </c>
      <c r="BE294" s="30">
        <v>17580</v>
      </c>
    </row>
    <row r="295" spans="26:57">
      <c r="Z295" s="20">
        <v>294</v>
      </c>
      <c r="AA295" s="28">
        <v>1</v>
      </c>
      <c r="AB295" s="28">
        <v>1</v>
      </c>
      <c r="AC295" s="29">
        <v>1</v>
      </c>
      <c r="AD295" s="30">
        <v>12940</v>
      </c>
      <c r="BA295">
        <v>294</v>
      </c>
      <c r="BB295" s="28">
        <v>1</v>
      </c>
      <c r="BC295" s="28">
        <v>1</v>
      </c>
      <c r="BD295" s="29">
        <v>1</v>
      </c>
      <c r="BE295" s="30">
        <v>17440</v>
      </c>
    </row>
    <row r="296" spans="26:57">
      <c r="Z296" s="20">
        <v>295</v>
      </c>
      <c r="AA296" s="28">
        <v>1</v>
      </c>
      <c r="AB296" s="28">
        <v>1</v>
      </c>
      <c r="AC296" s="29">
        <v>1</v>
      </c>
      <c r="AD296" s="30">
        <v>14440</v>
      </c>
      <c r="BA296">
        <v>295</v>
      </c>
      <c r="BB296" s="28">
        <v>1</v>
      </c>
      <c r="BC296" s="28">
        <v>1</v>
      </c>
      <c r="BD296" s="29">
        <v>1</v>
      </c>
      <c r="BE296" s="30">
        <v>17700</v>
      </c>
    </row>
    <row r="297" spans="26:57">
      <c r="Z297" s="20">
        <v>296</v>
      </c>
      <c r="AA297" s="28">
        <v>1</v>
      </c>
      <c r="AB297" s="28">
        <v>1</v>
      </c>
      <c r="AC297" s="29">
        <v>1</v>
      </c>
      <c r="AD297" s="30">
        <v>13400</v>
      </c>
      <c r="BA297">
        <v>296</v>
      </c>
      <c r="BB297" s="28">
        <v>1</v>
      </c>
      <c r="BC297" s="28">
        <v>1</v>
      </c>
      <c r="BD297" s="29">
        <v>1</v>
      </c>
      <c r="BE297" s="30">
        <v>17610</v>
      </c>
    </row>
    <row r="298" spans="26:57">
      <c r="Z298" s="20">
        <v>297</v>
      </c>
      <c r="AA298" s="28">
        <v>1</v>
      </c>
      <c r="AB298" s="28">
        <v>1</v>
      </c>
      <c r="AC298" s="29">
        <v>1</v>
      </c>
      <c r="AD298" s="30">
        <v>14500</v>
      </c>
      <c r="BA298">
        <v>297</v>
      </c>
      <c r="BB298" s="28">
        <v>1</v>
      </c>
      <c r="BC298" s="28">
        <v>0</v>
      </c>
      <c r="BD298" s="29">
        <v>0.99</v>
      </c>
      <c r="BE298" s="30">
        <v>18530</v>
      </c>
    </row>
    <row r="299" spans="26:57">
      <c r="Z299" s="20">
        <v>298</v>
      </c>
      <c r="AA299" s="28">
        <v>1</v>
      </c>
      <c r="AB299" s="28">
        <v>1</v>
      </c>
      <c r="AC299" s="29">
        <v>1</v>
      </c>
      <c r="AD299" s="30">
        <v>12180</v>
      </c>
      <c r="BA299">
        <v>298</v>
      </c>
      <c r="BB299" s="28">
        <v>1</v>
      </c>
      <c r="BC299" s="28">
        <v>0</v>
      </c>
      <c r="BD299" s="29">
        <v>0.99</v>
      </c>
      <c r="BE299" s="30">
        <v>15550</v>
      </c>
    </row>
    <row r="300" spans="26:57">
      <c r="Z300" s="20">
        <v>299</v>
      </c>
      <c r="AA300" s="28">
        <v>1</v>
      </c>
      <c r="AB300" s="28">
        <v>1</v>
      </c>
      <c r="AC300" s="29">
        <v>1</v>
      </c>
      <c r="AD300" s="30">
        <v>14920</v>
      </c>
      <c r="BA300">
        <v>299</v>
      </c>
      <c r="BB300" s="28">
        <v>1</v>
      </c>
      <c r="BC300" s="28">
        <v>0</v>
      </c>
      <c r="BD300" s="29">
        <v>0.99</v>
      </c>
      <c r="BE300" s="30">
        <v>15470</v>
      </c>
    </row>
    <row r="301" spans="26:57">
      <c r="Z301" s="20">
        <v>300</v>
      </c>
      <c r="AA301" s="28">
        <v>1</v>
      </c>
      <c r="AB301" s="28">
        <v>1</v>
      </c>
      <c r="AC301" s="29">
        <v>1</v>
      </c>
      <c r="AD301" s="30">
        <v>12060</v>
      </c>
      <c r="BA301">
        <v>300</v>
      </c>
      <c r="BB301" s="28">
        <v>1</v>
      </c>
      <c r="BC301" s="28">
        <v>1</v>
      </c>
      <c r="BD301" s="29">
        <v>1</v>
      </c>
      <c r="BE301" s="30">
        <v>16790</v>
      </c>
    </row>
    <row r="302" spans="26:57">
      <c r="Z302" s="20">
        <v>301</v>
      </c>
      <c r="AA302" s="28">
        <v>1</v>
      </c>
      <c r="AB302" s="28">
        <v>1</v>
      </c>
      <c r="AC302" s="29">
        <v>1</v>
      </c>
      <c r="AD302" s="30">
        <v>12540</v>
      </c>
      <c r="BA302">
        <v>301</v>
      </c>
      <c r="BB302" s="28">
        <v>1</v>
      </c>
      <c r="BC302" s="28">
        <v>0</v>
      </c>
      <c r="BD302" s="29">
        <v>0.98</v>
      </c>
      <c r="BE302" s="30">
        <v>18460</v>
      </c>
    </row>
    <row r="303" spans="26:57">
      <c r="Z303" s="20">
        <v>302</v>
      </c>
      <c r="AA303" s="28">
        <v>1</v>
      </c>
      <c r="AB303" s="28">
        <v>1</v>
      </c>
      <c r="AC303" s="29">
        <v>1</v>
      </c>
      <c r="AD303" s="30">
        <v>12220</v>
      </c>
      <c r="BA303">
        <v>302</v>
      </c>
      <c r="BB303" s="28">
        <v>1</v>
      </c>
      <c r="BC303" s="28">
        <v>0</v>
      </c>
      <c r="BD303" s="29">
        <v>0.99</v>
      </c>
      <c r="BE303" s="30">
        <v>17500</v>
      </c>
    </row>
    <row r="304" spans="26:57">
      <c r="Z304" s="20">
        <v>303</v>
      </c>
      <c r="AA304" s="28">
        <v>1</v>
      </c>
      <c r="AB304" s="28">
        <v>1</v>
      </c>
      <c r="AC304" s="29">
        <v>1</v>
      </c>
      <c r="AD304" s="30">
        <v>12690</v>
      </c>
      <c r="BA304">
        <v>303</v>
      </c>
      <c r="BB304" s="28">
        <v>1</v>
      </c>
      <c r="BC304" s="28">
        <v>1</v>
      </c>
      <c r="BD304" s="29">
        <v>1</v>
      </c>
      <c r="BE304" s="30">
        <v>20260</v>
      </c>
    </row>
    <row r="305" spans="26:57">
      <c r="Z305" s="20">
        <v>304</v>
      </c>
      <c r="AA305" s="28">
        <v>1</v>
      </c>
      <c r="AB305" s="28">
        <v>1</v>
      </c>
      <c r="AC305" s="29">
        <v>1</v>
      </c>
      <c r="AD305" s="30">
        <v>11010</v>
      </c>
      <c r="BA305">
        <v>304</v>
      </c>
      <c r="BB305" s="28">
        <v>1</v>
      </c>
      <c r="BC305" s="28">
        <v>1</v>
      </c>
      <c r="BD305" s="29">
        <v>1</v>
      </c>
      <c r="BE305" s="30">
        <v>16150</v>
      </c>
    </row>
    <row r="306" spans="26:57">
      <c r="Z306" s="20">
        <v>305</v>
      </c>
      <c r="AA306" s="28">
        <v>1</v>
      </c>
      <c r="AB306" s="28">
        <v>1</v>
      </c>
      <c r="AC306" s="29">
        <v>1</v>
      </c>
      <c r="AD306" s="30">
        <v>13060</v>
      </c>
      <c r="BA306">
        <v>305</v>
      </c>
      <c r="BB306" s="28">
        <v>1</v>
      </c>
      <c r="BC306" s="28">
        <v>0</v>
      </c>
      <c r="BD306" s="29">
        <v>0.99</v>
      </c>
      <c r="BE306" s="30">
        <v>17010</v>
      </c>
    </row>
    <row r="307" spans="26:57">
      <c r="Z307" s="20">
        <v>306</v>
      </c>
      <c r="AA307" s="28">
        <v>1</v>
      </c>
      <c r="AB307" s="28">
        <v>1</v>
      </c>
      <c r="AC307" s="29">
        <v>1</v>
      </c>
      <c r="AD307" s="30">
        <v>12150</v>
      </c>
      <c r="BA307">
        <v>306</v>
      </c>
      <c r="BB307" s="28">
        <v>1</v>
      </c>
      <c r="BC307" s="28">
        <v>1</v>
      </c>
      <c r="BD307" s="29">
        <v>1</v>
      </c>
      <c r="BE307" s="30">
        <v>15400</v>
      </c>
    </row>
    <row r="308" spans="26:57">
      <c r="Z308" s="20">
        <v>307</v>
      </c>
      <c r="AA308" s="28">
        <v>1</v>
      </c>
      <c r="AB308" s="28">
        <v>1</v>
      </c>
      <c r="AC308" s="29">
        <v>1</v>
      </c>
      <c r="AD308" s="30">
        <v>12450</v>
      </c>
      <c r="BA308">
        <v>307</v>
      </c>
      <c r="BB308" s="28">
        <v>1</v>
      </c>
      <c r="BC308" s="28">
        <v>0</v>
      </c>
      <c r="BD308" s="29">
        <v>0.96</v>
      </c>
      <c r="BE308" s="30">
        <v>17930</v>
      </c>
    </row>
    <row r="309" spans="26:57">
      <c r="Z309" s="20">
        <v>308</v>
      </c>
      <c r="AA309" s="28">
        <v>1</v>
      </c>
      <c r="AB309" s="28">
        <v>1</v>
      </c>
      <c r="AC309" s="29">
        <v>1</v>
      </c>
      <c r="AD309" s="30">
        <v>13050</v>
      </c>
      <c r="BA309">
        <v>308</v>
      </c>
      <c r="BB309" s="28">
        <v>1</v>
      </c>
      <c r="BC309" s="28">
        <v>1</v>
      </c>
      <c r="BD309" s="29">
        <v>1</v>
      </c>
      <c r="BE309" s="30">
        <v>15160</v>
      </c>
    </row>
    <row r="310" spans="26:57">
      <c r="Z310" s="20">
        <v>309</v>
      </c>
      <c r="AA310" s="28">
        <v>1</v>
      </c>
      <c r="AB310" s="28">
        <v>1</v>
      </c>
      <c r="AC310" s="29">
        <v>1</v>
      </c>
      <c r="AD310" s="30">
        <v>12290</v>
      </c>
      <c r="BA310">
        <v>309</v>
      </c>
      <c r="BB310" s="28">
        <v>1</v>
      </c>
      <c r="BC310" s="28">
        <v>1</v>
      </c>
      <c r="BD310" s="29">
        <v>1</v>
      </c>
      <c r="BE310" s="30">
        <v>17670</v>
      </c>
    </row>
    <row r="311" spans="26:57">
      <c r="Z311" s="20">
        <v>310</v>
      </c>
      <c r="AA311" s="28">
        <v>1</v>
      </c>
      <c r="AB311" s="28">
        <v>1</v>
      </c>
      <c r="AC311" s="29">
        <v>1</v>
      </c>
      <c r="AD311" s="30">
        <v>11860</v>
      </c>
      <c r="BA311">
        <v>310</v>
      </c>
      <c r="BB311" s="28">
        <v>1</v>
      </c>
      <c r="BC311" s="28">
        <v>0</v>
      </c>
      <c r="BD311" s="29">
        <v>0.99</v>
      </c>
      <c r="BE311" s="30">
        <v>20210</v>
      </c>
    </row>
    <row r="312" spans="26:57">
      <c r="Z312" s="20">
        <v>311</v>
      </c>
      <c r="AA312" s="28">
        <v>1</v>
      </c>
      <c r="AB312" s="28">
        <v>1</v>
      </c>
      <c r="AC312" s="29">
        <v>1</v>
      </c>
      <c r="AD312" s="30">
        <v>12130</v>
      </c>
      <c r="BA312">
        <v>311</v>
      </c>
      <c r="BB312" s="28">
        <v>1</v>
      </c>
      <c r="BC312" s="28">
        <v>0</v>
      </c>
      <c r="BD312" s="29">
        <v>0.99</v>
      </c>
      <c r="BE312" s="30">
        <v>18170</v>
      </c>
    </row>
    <row r="313" spans="26:57">
      <c r="Z313" s="20">
        <v>312</v>
      </c>
      <c r="AA313" s="28">
        <v>1</v>
      </c>
      <c r="AB313" s="28">
        <v>1</v>
      </c>
      <c r="AC313" s="29">
        <v>1</v>
      </c>
      <c r="AD313" s="30">
        <v>12020</v>
      </c>
      <c r="BA313">
        <v>312</v>
      </c>
      <c r="BB313" s="28">
        <v>1</v>
      </c>
      <c r="BC313" s="28">
        <v>0</v>
      </c>
      <c r="BD313" s="29">
        <v>0.98</v>
      </c>
      <c r="BE313" s="30">
        <v>17160</v>
      </c>
    </row>
    <row r="314" spans="26:57">
      <c r="Z314" s="20">
        <v>313</v>
      </c>
      <c r="AA314" s="28">
        <v>1</v>
      </c>
      <c r="AB314" s="28">
        <v>1</v>
      </c>
      <c r="AC314" s="29">
        <v>1</v>
      </c>
      <c r="AD314" s="30">
        <v>13940</v>
      </c>
      <c r="BA314">
        <v>313</v>
      </c>
      <c r="BB314" s="28">
        <v>1</v>
      </c>
      <c r="BC314" s="28">
        <v>1</v>
      </c>
      <c r="BD314" s="29">
        <v>1</v>
      </c>
      <c r="BE314" s="30">
        <v>16110</v>
      </c>
    </row>
    <row r="315" spans="26:57">
      <c r="Z315" s="20">
        <v>314</v>
      </c>
      <c r="AA315" s="28">
        <v>1</v>
      </c>
      <c r="AB315" s="28">
        <v>1</v>
      </c>
      <c r="AC315" s="29">
        <v>1</v>
      </c>
      <c r="AD315" s="30">
        <v>12020</v>
      </c>
      <c r="BA315">
        <v>314</v>
      </c>
      <c r="BB315" s="28">
        <v>1</v>
      </c>
      <c r="BC315" s="28">
        <v>1</v>
      </c>
      <c r="BD315" s="29">
        <v>1</v>
      </c>
      <c r="BE315" s="30">
        <v>17840</v>
      </c>
    </row>
    <row r="316" spans="26:57">
      <c r="Z316" s="20">
        <v>315</v>
      </c>
      <c r="AA316" s="28">
        <v>1</v>
      </c>
      <c r="AB316" s="28">
        <v>1</v>
      </c>
      <c r="AC316" s="29">
        <v>1</v>
      </c>
      <c r="AD316" s="30">
        <v>12010</v>
      </c>
      <c r="BA316">
        <v>315</v>
      </c>
      <c r="BB316" s="28">
        <v>1</v>
      </c>
      <c r="BC316" s="28">
        <v>1</v>
      </c>
      <c r="BD316" s="29">
        <v>1</v>
      </c>
      <c r="BE316" s="30">
        <v>14090</v>
      </c>
    </row>
    <row r="317" spans="26:57">
      <c r="Z317" s="20">
        <v>316</v>
      </c>
      <c r="AA317" s="28">
        <v>1</v>
      </c>
      <c r="AB317" s="28">
        <v>1</v>
      </c>
      <c r="AC317" s="29">
        <v>1</v>
      </c>
      <c r="AD317" s="30">
        <v>13230</v>
      </c>
      <c r="BA317">
        <v>316</v>
      </c>
      <c r="BB317" s="28">
        <v>1</v>
      </c>
      <c r="BC317" s="28">
        <v>1</v>
      </c>
      <c r="BD317" s="29">
        <v>1</v>
      </c>
      <c r="BE317" s="30">
        <v>15580</v>
      </c>
    </row>
    <row r="318" spans="26:57">
      <c r="Z318" s="20">
        <v>317</v>
      </c>
      <c r="AA318" s="28">
        <v>1</v>
      </c>
      <c r="AB318" s="28">
        <v>1</v>
      </c>
      <c r="AC318" s="29">
        <v>1</v>
      </c>
      <c r="AD318" s="30">
        <v>13620</v>
      </c>
      <c r="BA318">
        <v>317</v>
      </c>
      <c r="BB318" s="28">
        <v>1</v>
      </c>
      <c r="BC318" s="28">
        <v>0</v>
      </c>
      <c r="BD318" s="29">
        <v>0.99</v>
      </c>
      <c r="BE318" s="30">
        <v>15920</v>
      </c>
    </row>
    <row r="319" spans="26:57">
      <c r="Z319" s="20">
        <v>318</v>
      </c>
      <c r="AA319" s="28">
        <v>1</v>
      </c>
      <c r="AB319" s="28">
        <v>1</v>
      </c>
      <c r="AC319" s="29">
        <v>1</v>
      </c>
      <c r="AD319" s="30">
        <v>13560</v>
      </c>
      <c r="BA319">
        <v>318</v>
      </c>
      <c r="BB319" s="28">
        <v>1</v>
      </c>
      <c r="BC319" s="28">
        <v>1</v>
      </c>
      <c r="BD319" s="29">
        <v>1</v>
      </c>
      <c r="BE319" s="30">
        <v>15010</v>
      </c>
    </row>
    <row r="320" spans="26:57">
      <c r="Z320" s="20">
        <v>319</v>
      </c>
      <c r="AA320" s="28">
        <v>1</v>
      </c>
      <c r="AB320" s="28">
        <v>1</v>
      </c>
      <c r="AC320" s="29">
        <v>1</v>
      </c>
      <c r="AD320" s="30">
        <v>12160</v>
      </c>
      <c r="BA320">
        <v>319</v>
      </c>
      <c r="BB320" s="28">
        <v>1</v>
      </c>
      <c r="BC320" s="28">
        <v>0</v>
      </c>
      <c r="BD320" s="29">
        <v>0.99</v>
      </c>
      <c r="BE320" s="30">
        <v>17370</v>
      </c>
    </row>
    <row r="321" spans="26:57">
      <c r="Z321" s="20">
        <v>320</v>
      </c>
      <c r="AA321" s="28">
        <v>1</v>
      </c>
      <c r="AB321" s="28">
        <v>1</v>
      </c>
      <c r="AC321" s="29">
        <v>1</v>
      </c>
      <c r="AD321" s="30">
        <v>12380</v>
      </c>
      <c r="BA321">
        <v>320</v>
      </c>
      <c r="BB321" s="28">
        <v>1</v>
      </c>
      <c r="BC321" s="28">
        <v>1</v>
      </c>
      <c r="BD321" s="29">
        <v>1</v>
      </c>
      <c r="BE321" s="30">
        <v>17910</v>
      </c>
    </row>
    <row r="322" spans="26:57">
      <c r="Z322" s="20">
        <v>321</v>
      </c>
      <c r="AA322" s="28">
        <v>1</v>
      </c>
      <c r="AB322" s="28">
        <v>1</v>
      </c>
      <c r="AC322" s="29">
        <v>1</v>
      </c>
      <c r="AD322" s="30">
        <v>13170</v>
      </c>
      <c r="BA322">
        <v>321</v>
      </c>
      <c r="BB322" s="28">
        <v>1</v>
      </c>
      <c r="BC322" s="28">
        <v>1</v>
      </c>
      <c r="BD322" s="29">
        <v>1</v>
      </c>
      <c r="BE322" s="30">
        <v>15890</v>
      </c>
    </row>
    <row r="323" spans="26:57">
      <c r="Z323" s="20">
        <v>322</v>
      </c>
      <c r="AA323" s="28">
        <v>1</v>
      </c>
      <c r="AB323" s="28">
        <v>1</v>
      </c>
      <c r="AC323" s="29">
        <v>1</v>
      </c>
      <c r="AD323" s="30">
        <v>13230</v>
      </c>
      <c r="BA323">
        <v>322</v>
      </c>
      <c r="BB323" s="28">
        <v>1</v>
      </c>
      <c r="BC323" s="28">
        <v>1</v>
      </c>
      <c r="BD323" s="29">
        <v>1</v>
      </c>
      <c r="BE323" s="30">
        <v>16920</v>
      </c>
    </row>
    <row r="324" spans="26:57">
      <c r="Z324" s="20">
        <v>323</v>
      </c>
      <c r="AA324" s="28">
        <v>1</v>
      </c>
      <c r="AB324" s="28">
        <v>1</v>
      </c>
      <c r="AC324" s="29">
        <v>1</v>
      </c>
      <c r="AD324" s="30">
        <v>14040</v>
      </c>
      <c r="BA324">
        <v>323</v>
      </c>
      <c r="BB324" s="28">
        <v>1</v>
      </c>
      <c r="BC324" s="28">
        <v>1</v>
      </c>
      <c r="BD324" s="29">
        <v>1</v>
      </c>
      <c r="BE324" s="30">
        <v>20700</v>
      </c>
    </row>
    <row r="325" spans="26:57">
      <c r="Z325" s="20">
        <v>324</v>
      </c>
      <c r="AA325" s="28">
        <v>1</v>
      </c>
      <c r="AB325" s="28">
        <v>1</v>
      </c>
      <c r="AC325" s="29">
        <v>1</v>
      </c>
      <c r="AD325" s="30">
        <v>11680</v>
      </c>
      <c r="BA325">
        <v>324</v>
      </c>
      <c r="BB325" s="28">
        <v>1</v>
      </c>
      <c r="BC325" s="28">
        <v>1</v>
      </c>
      <c r="BD325" s="29">
        <v>1</v>
      </c>
      <c r="BE325" s="30">
        <v>16620</v>
      </c>
    </row>
    <row r="326" spans="26:57">
      <c r="Z326" s="20">
        <v>325</v>
      </c>
      <c r="AA326" s="28">
        <v>1</v>
      </c>
      <c r="AB326" s="28">
        <v>1</v>
      </c>
      <c r="AC326" s="29">
        <v>1</v>
      </c>
      <c r="AD326" s="30">
        <v>11700</v>
      </c>
      <c r="BA326">
        <v>325</v>
      </c>
      <c r="BB326" s="28">
        <v>1</v>
      </c>
      <c r="BC326" s="28">
        <v>0</v>
      </c>
      <c r="BD326" s="29">
        <v>0.99</v>
      </c>
      <c r="BE326" s="30">
        <v>14690</v>
      </c>
    </row>
    <row r="327" spans="26:57">
      <c r="Z327" s="20">
        <v>326</v>
      </c>
      <c r="AA327" s="28">
        <v>1</v>
      </c>
      <c r="AB327" s="28">
        <v>1</v>
      </c>
      <c r="AC327" s="29">
        <v>1</v>
      </c>
      <c r="AD327" s="30">
        <v>11790</v>
      </c>
      <c r="BA327">
        <v>326</v>
      </c>
      <c r="BB327" s="28">
        <v>1</v>
      </c>
      <c r="BC327" s="28">
        <v>1</v>
      </c>
      <c r="BD327" s="29">
        <v>1</v>
      </c>
      <c r="BE327" s="30">
        <v>13660</v>
      </c>
    </row>
    <row r="328" spans="26:57">
      <c r="Z328" s="20">
        <v>327</v>
      </c>
      <c r="AA328" s="28">
        <v>1</v>
      </c>
      <c r="AB328" s="28">
        <v>1</v>
      </c>
      <c r="AC328" s="29">
        <v>1</v>
      </c>
      <c r="AD328" s="30">
        <v>13490</v>
      </c>
      <c r="BA328">
        <v>327</v>
      </c>
      <c r="BB328" s="28">
        <v>1</v>
      </c>
      <c r="BC328" s="28">
        <v>1</v>
      </c>
      <c r="BD328" s="29">
        <v>1</v>
      </c>
      <c r="BE328" s="30">
        <v>16120</v>
      </c>
    </row>
    <row r="329" spans="26:57">
      <c r="Z329" s="20">
        <v>328</v>
      </c>
      <c r="AA329" s="28">
        <v>1</v>
      </c>
      <c r="AB329" s="28">
        <v>1</v>
      </c>
      <c r="AC329" s="29">
        <v>1</v>
      </c>
      <c r="AD329" s="30">
        <v>11530</v>
      </c>
      <c r="BA329">
        <v>328</v>
      </c>
      <c r="BB329" s="28">
        <v>1</v>
      </c>
      <c r="BC329" s="28">
        <v>1</v>
      </c>
      <c r="BD329" s="29">
        <v>1</v>
      </c>
      <c r="BE329" s="30">
        <v>18200</v>
      </c>
    </row>
    <row r="330" spans="26:57">
      <c r="Z330" s="20">
        <v>329</v>
      </c>
      <c r="AA330" s="28">
        <v>1</v>
      </c>
      <c r="AB330" s="28">
        <v>1</v>
      </c>
      <c r="AC330" s="29">
        <v>1</v>
      </c>
      <c r="AD330" s="30">
        <v>12800</v>
      </c>
      <c r="BA330">
        <v>329</v>
      </c>
      <c r="BB330" s="28">
        <v>1</v>
      </c>
      <c r="BC330" s="28">
        <v>0</v>
      </c>
      <c r="BD330" s="29">
        <v>0.99</v>
      </c>
      <c r="BE330" s="30">
        <v>16660</v>
      </c>
    </row>
    <row r="331" spans="26:57">
      <c r="Z331" s="20">
        <v>330</v>
      </c>
      <c r="AA331" s="28">
        <v>1</v>
      </c>
      <c r="AB331" s="28">
        <v>1</v>
      </c>
      <c r="AC331" s="29">
        <v>1</v>
      </c>
      <c r="AD331" s="30">
        <v>13420</v>
      </c>
      <c r="BA331">
        <v>330</v>
      </c>
      <c r="BB331" s="28">
        <v>1</v>
      </c>
      <c r="BC331" s="28">
        <v>1</v>
      </c>
      <c r="BD331" s="29">
        <v>1</v>
      </c>
      <c r="BE331" s="30">
        <v>16350</v>
      </c>
    </row>
    <row r="332" spans="26:57">
      <c r="Z332" s="20">
        <v>331</v>
      </c>
      <c r="AA332" s="28">
        <v>1</v>
      </c>
      <c r="AB332" s="28">
        <v>1</v>
      </c>
      <c r="AC332" s="29">
        <v>1</v>
      </c>
      <c r="AD332" s="30">
        <v>11760</v>
      </c>
      <c r="BA332">
        <v>331</v>
      </c>
      <c r="BB332" s="28">
        <v>1</v>
      </c>
      <c r="BC332" s="28">
        <v>0</v>
      </c>
      <c r="BD332" s="29">
        <v>0.99</v>
      </c>
      <c r="BE332" s="30">
        <v>17550</v>
      </c>
    </row>
    <row r="333" spans="26:57">
      <c r="Z333" s="20">
        <v>332</v>
      </c>
      <c r="AA333" s="28">
        <v>1</v>
      </c>
      <c r="AB333" s="28">
        <v>1</v>
      </c>
      <c r="AC333" s="29">
        <v>1</v>
      </c>
      <c r="AD333" s="30">
        <v>12780</v>
      </c>
      <c r="BA333">
        <v>332</v>
      </c>
      <c r="BB333" s="28">
        <v>1</v>
      </c>
      <c r="BC333" s="28">
        <v>1</v>
      </c>
      <c r="BD333" s="29">
        <v>1</v>
      </c>
      <c r="BE333" s="30">
        <v>15790</v>
      </c>
    </row>
    <row r="334" spans="26:57">
      <c r="Z334" s="20">
        <v>333</v>
      </c>
      <c r="AA334" s="28">
        <v>1</v>
      </c>
      <c r="AB334" s="28">
        <v>1</v>
      </c>
      <c r="AC334" s="29">
        <v>1</v>
      </c>
      <c r="AD334" s="30">
        <v>13070</v>
      </c>
      <c r="BA334">
        <v>333</v>
      </c>
      <c r="BB334" s="28">
        <v>1</v>
      </c>
      <c r="BC334" s="28">
        <v>0</v>
      </c>
      <c r="BD334" s="29">
        <v>0.99</v>
      </c>
      <c r="BE334" s="30">
        <v>16940</v>
      </c>
    </row>
    <row r="335" spans="26:57">
      <c r="Z335" s="20">
        <v>334</v>
      </c>
      <c r="AA335" s="28">
        <v>1</v>
      </c>
      <c r="AB335" s="28">
        <v>1</v>
      </c>
      <c r="AC335" s="29">
        <v>1</v>
      </c>
      <c r="AD335" s="30">
        <v>14300</v>
      </c>
      <c r="BA335">
        <v>334</v>
      </c>
      <c r="BB335" s="28">
        <v>1</v>
      </c>
      <c r="BC335" s="28">
        <v>0</v>
      </c>
      <c r="BD335" s="29">
        <v>0.99</v>
      </c>
      <c r="BE335" s="30">
        <v>17020</v>
      </c>
    </row>
    <row r="336" spans="26:57">
      <c r="Z336" s="20">
        <v>335</v>
      </c>
      <c r="AA336" s="28">
        <v>1</v>
      </c>
      <c r="AB336" s="28">
        <v>1</v>
      </c>
      <c r="AC336" s="29">
        <v>1</v>
      </c>
      <c r="AD336" s="30">
        <v>11010</v>
      </c>
      <c r="BA336">
        <v>335</v>
      </c>
      <c r="BB336" s="28">
        <v>1</v>
      </c>
      <c r="BC336" s="28">
        <v>1</v>
      </c>
      <c r="BD336" s="29">
        <v>1</v>
      </c>
      <c r="BE336" s="30">
        <v>15620</v>
      </c>
    </row>
    <row r="337" spans="26:57">
      <c r="Z337" s="20">
        <v>336</v>
      </c>
      <c r="AA337" s="28">
        <v>1</v>
      </c>
      <c r="AB337" s="28">
        <v>1</v>
      </c>
      <c r="AC337" s="29">
        <v>1</v>
      </c>
      <c r="AD337" s="30">
        <v>11020</v>
      </c>
      <c r="BA337">
        <v>336</v>
      </c>
      <c r="BB337" s="28">
        <v>1</v>
      </c>
      <c r="BC337" s="28">
        <v>1</v>
      </c>
      <c r="BD337" s="29">
        <v>1</v>
      </c>
      <c r="BE337" s="30">
        <v>17060</v>
      </c>
    </row>
    <row r="338" spans="26:57">
      <c r="Z338" s="20">
        <v>337</v>
      </c>
      <c r="AA338" s="28">
        <v>1</v>
      </c>
      <c r="AB338" s="28">
        <v>1</v>
      </c>
      <c r="AC338" s="29">
        <v>1</v>
      </c>
      <c r="AD338" s="30">
        <v>11480</v>
      </c>
      <c r="BA338">
        <v>337</v>
      </c>
      <c r="BB338" s="28">
        <v>1</v>
      </c>
      <c r="BC338" s="28">
        <v>1</v>
      </c>
      <c r="BD338" s="29">
        <v>1</v>
      </c>
      <c r="BE338" s="30">
        <v>17730</v>
      </c>
    </row>
    <row r="339" spans="26:57">
      <c r="Z339" s="20">
        <v>338</v>
      </c>
      <c r="AA339" s="28">
        <v>1</v>
      </c>
      <c r="AB339" s="28">
        <v>1</v>
      </c>
      <c r="AC339" s="29">
        <v>1</v>
      </c>
      <c r="AD339" s="30">
        <v>13250</v>
      </c>
      <c r="BA339">
        <v>338</v>
      </c>
      <c r="BB339" s="28">
        <v>1</v>
      </c>
      <c r="BC339" s="28">
        <v>1</v>
      </c>
      <c r="BD339" s="29">
        <v>1</v>
      </c>
      <c r="BE339" s="30">
        <v>16750</v>
      </c>
    </row>
    <row r="340" spans="26:57">
      <c r="Z340" s="20">
        <v>339</v>
      </c>
      <c r="AA340" s="28">
        <v>1</v>
      </c>
      <c r="AB340" s="28">
        <v>1</v>
      </c>
      <c r="AC340" s="29">
        <v>1</v>
      </c>
      <c r="AD340" s="30">
        <v>11780</v>
      </c>
      <c r="BA340">
        <v>339</v>
      </c>
      <c r="BB340" s="28">
        <v>1</v>
      </c>
      <c r="BC340" s="28">
        <v>0</v>
      </c>
      <c r="BD340" s="29">
        <v>0.97</v>
      </c>
      <c r="BE340" s="30">
        <v>16300</v>
      </c>
    </row>
    <row r="341" spans="26:57">
      <c r="Z341" s="20">
        <v>340</v>
      </c>
      <c r="AA341" s="28">
        <v>1</v>
      </c>
      <c r="AB341" s="28">
        <v>1</v>
      </c>
      <c r="AC341" s="29">
        <v>1</v>
      </c>
      <c r="AD341" s="30">
        <v>13590</v>
      </c>
      <c r="BA341">
        <v>340</v>
      </c>
      <c r="BB341" s="28">
        <v>1</v>
      </c>
      <c r="BC341" s="28">
        <v>1</v>
      </c>
      <c r="BD341" s="29">
        <v>1</v>
      </c>
      <c r="BE341" s="30">
        <v>17390</v>
      </c>
    </row>
    <row r="342" spans="26:57">
      <c r="Z342" s="20">
        <v>341</v>
      </c>
      <c r="AA342" s="28">
        <v>1</v>
      </c>
      <c r="AB342" s="28">
        <v>1</v>
      </c>
      <c r="AC342" s="29">
        <v>1</v>
      </c>
      <c r="AD342" s="30">
        <v>13000</v>
      </c>
      <c r="BA342">
        <v>341</v>
      </c>
      <c r="BB342" s="28">
        <v>1</v>
      </c>
      <c r="BC342" s="28">
        <v>0</v>
      </c>
      <c r="BD342" s="29">
        <v>0.99</v>
      </c>
      <c r="BE342" s="30">
        <v>17240</v>
      </c>
    </row>
    <row r="343" spans="26:57">
      <c r="Z343" s="20">
        <v>342</v>
      </c>
      <c r="AA343" s="28">
        <v>1</v>
      </c>
      <c r="AB343" s="28">
        <v>1</v>
      </c>
      <c r="AC343" s="29">
        <v>1</v>
      </c>
      <c r="AD343" s="30">
        <v>12250</v>
      </c>
      <c r="BA343">
        <v>342</v>
      </c>
      <c r="BB343" s="28">
        <v>1</v>
      </c>
      <c r="BC343" s="28">
        <v>0</v>
      </c>
      <c r="BD343" s="29">
        <v>0.99</v>
      </c>
      <c r="BE343" s="30">
        <v>15830</v>
      </c>
    </row>
    <row r="344" spans="26:57">
      <c r="Z344" s="20">
        <v>343</v>
      </c>
      <c r="AA344" s="28">
        <v>1</v>
      </c>
      <c r="AB344" s="28">
        <v>1</v>
      </c>
      <c r="AC344" s="29">
        <v>1</v>
      </c>
      <c r="AD344" s="30">
        <v>15330</v>
      </c>
      <c r="BA344">
        <v>343</v>
      </c>
      <c r="BB344" s="28">
        <v>1</v>
      </c>
      <c r="BC344" s="28">
        <v>0</v>
      </c>
      <c r="BD344" s="29">
        <v>0.99</v>
      </c>
      <c r="BE344" s="30">
        <v>16910</v>
      </c>
    </row>
    <row r="345" spans="26:57">
      <c r="Z345" s="20">
        <v>344</v>
      </c>
      <c r="AA345" s="28">
        <v>1</v>
      </c>
      <c r="AB345" s="28">
        <v>1</v>
      </c>
      <c r="AC345" s="29">
        <v>1</v>
      </c>
      <c r="AD345" s="30">
        <v>12520</v>
      </c>
      <c r="BA345">
        <v>344</v>
      </c>
      <c r="BB345" s="28">
        <v>1</v>
      </c>
      <c r="BC345" s="28">
        <v>1</v>
      </c>
      <c r="BD345" s="29">
        <v>1</v>
      </c>
      <c r="BE345" s="30">
        <v>14660</v>
      </c>
    </row>
    <row r="346" spans="26:57">
      <c r="Z346" s="20">
        <v>345</v>
      </c>
      <c r="AA346" s="28">
        <v>1</v>
      </c>
      <c r="AB346" s="28">
        <v>1</v>
      </c>
      <c r="AC346" s="29">
        <v>1</v>
      </c>
      <c r="AD346" s="30">
        <v>12900</v>
      </c>
      <c r="BA346">
        <v>345</v>
      </c>
      <c r="BB346" s="28">
        <v>1</v>
      </c>
      <c r="BC346" s="28">
        <v>1</v>
      </c>
      <c r="BD346" s="29">
        <v>1</v>
      </c>
      <c r="BE346" s="30">
        <v>16720</v>
      </c>
    </row>
    <row r="347" spans="26:57">
      <c r="Z347" s="20">
        <v>346</v>
      </c>
      <c r="AA347" s="28">
        <v>1</v>
      </c>
      <c r="AB347" s="28">
        <v>1</v>
      </c>
      <c r="AC347" s="29">
        <v>1</v>
      </c>
      <c r="AD347" s="30">
        <v>12480</v>
      </c>
      <c r="BA347">
        <v>346</v>
      </c>
      <c r="BB347" s="28">
        <v>1</v>
      </c>
      <c r="BC347" s="28">
        <v>1</v>
      </c>
      <c r="BD347" s="29">
        <v>1</v>
      </c>
      <c r="BE347" s="30">
        <v>19490</v>
      </c>
    </row>
    <row r="348" spans="26:57">
      <c r="Z348" s="20">
        <v>347</v>
      </c>
      <c r="AA348" s="28">
        <v>1</v>
      </c>
      <c r="AB348" s="28">
        <v>1</v>
      </c>
      <c r="AC348" s="29">
        <v>1</v>
      </c>
      <c r="AD348" s="30">
        <v>12670</v>
      </c>
      <c r="BA348">
        <v>347</v>
      </c>
      <c r="BB348" s="28">
        <v>1</v>
      </c>
      <c r="BC348" s="28">
        <v>1</v>
      </c>
      <c r="BD348" s="29">
        <v>1</v>
      </c>
      <c r="BE348" s="30">
        <v>17490</v>
      </c>
    </row>
    <row r="349" spans="26:57">
      <c r="Z349" s="20">
        <v>348</v>
      </c>
      <c r="AA349" s="28">
        <v>1</v>
      </c>
      <c r="AB349" s="28">
        <v>1</v>
      </c>
      <c r="AC349" s="29">
        <v>1</v>
      </c>
      <c r="AD349" s="30">
        <v>12960</v>
      </c>
      <c r="BA349">
        <v>348</v>
      </c>
      <c r="BB349" s="28">
        <v>1</v>
      </c>
      <c r="BC349" s="28">
        <v>0</v>
      </c>
      <c r="BD349" s="29">
        <v>0.96</v>
      </c>
      <c r="BE349" s="30">
        <v>17510</v>
      </c>
    </row>
    <row r="350" spans="26:57">
      <c r="Z350" s="20">
        <v>349</v>
      </c>
      <c r="AA350" s="28">
        <v>1</v>
      </c>
      <c r="AB350" s="28">
        <v>1</v>
      </c>
      <c r="AC350" s="29">
        <v>1</v>
      </c>
      <c r="AD350" s="30">
        <v>12160</v>
      </c>
      <c r="BA350">
        <v>349</v>
      </c>
      <c r="BB350" s="28">
        <v>1</v>
      </c>
      <c r="BC350" s="28">
        <v>0</v>
      </c>
      <c r="BD350" s="29">
        <v>0.98</v>
      </c>
      <c r="BE350" s="30">
        <v>18740</v>
      </c>
    </row>
    <row r="351" spans="26:57">
      <c r="Z351" s="20">
        <v>350</v>
      </c>
      <c r="AA351" s="28">
        <v>1</v>
      </c>
      <c r="AB351" s="28">
        <v>1</v>
      </c>
      <c r="AC351" s="29">
        <v>1</v>
      </c>
      <c r="AD351" s="30">
        <v>13600</v>
      </c>
      <c r="BA351">
        <v>350</v>
      </c>
      <c r="BB351" s="28">
        <v>1</v>
      </c>
      <c r="BC351" s="28">
        <v>0</v>
      </c>
      <c r="BD351" s="29">
        <v>0.99</v>
      </c>
      <c r="BE351" s="30">
        <v>18770</v>
      </c>
    </row>
    <row r="352" spans="26:57">
      <c r="Z352" s="20">
        <v>351</v>
      </c>
      <c r="AA352" s="28">
        <v>1</v>
      </c>
      <c r="AB352" s="28">
        <v>1</v>
      </c>
      <c r="AC352" s="29">
        <v>1</v>
      </c>
      <c r="AD352" s="30">
        <v>11760</v>
      </c>
      <c r="BA352">
        <v>351</v>
      </c>
      <c r="BB352" s="28">
        <v>1</v>
      </c>
      <c r="BC352" s="28">
        <v>1</v>
      </c>
      <c r="BD352" s="29">
        <v>1</v>
      </c>
      <c r="BE352" s="30">
        <v>15850</v>
      </c>
    </row>
    <row r="353" spans="26:57">
      <c r="Z353" s="20">
        <v>352</v>
      </c>
      <c r="AA353" s="28">
        <v>1</v>
      </c>
      <c r="AB353" s="28">
        <v>1</v>
      </c>
      <c r="AC353" s="29">
        <v>1</v>
      </c>
      <c r="AD353" s="30">
        <v>12160</v>
      </c>
      <c r="BA353">
        <v>352</v>
      </c>
      <c r="BB353" s="28">
        <v>1</v>
      </c>
      <c r="BC353" s="28">
        <v>1</v>
      </c>
      <c r="BD353" s="29">
        <v>1</v>
      </c>
      <c r="BE353" s="30">
        <v>16650</v>
      </c>
    </row>
    <row r="354" spans="26:57">
      <c r="Z354" s="20">
        <v>353</v>
      </c>
      <c r="AA354" s="28">
        <v>1</v>
      </c>
      <c r="AB354" s="28">
        <v>1</v>
      </c>
      <c r="AC354" s="29">
        <v>1</v>
      </c>
      <c r="AD354" s="30">
        <v>11800</v>
      </c>
      <c r="BA354">
        <v>353</v>
      </c>
      <c r="BB354" s="28">
        <v>1</v>
      </c>
      <c r="BC354" s="28">
        <v>1</v>
      </c>
      <c r="BD354" s="29">
        <v>1</v>
      </c>
      <c r="BE354" s="30">
        <v>16780</v>
      </c>
    </row>
    <row r="355" spans="26:57">
      <c r="Z355" s="20">
        <v>354</v>
      </c>
      <c r="AA355" s="28">
        <v>1</v>
      </c>
      <c r="AB355" s="28">
        <v>1</v>
      </c>
      <c r="AC355" s="29">
        <v>1</v>
      </c>
      <c r="AD355" s="30">
        <v>13320</v>
      </c>
      <c r="BA355">
        <v>354</v>
      </c>
      <c r="BB355" s="28">
        <v>1</v>
      </c>
      <c r="BC355" s="28">
        <v>0</v>
      </c>
      <c r="BD355" s="29">
        <v>0.99</v>
      </c>
      <c r="BE355" s="30">
        <v>16990</v>
      </c>
    </row>
    <row r="356" spans="26:57">
      <c r="Z356" s="20">
        <v>355</v>
      </c>
      <c r="AA356" s="28">
        <v>1</v>
      </c>
      <c r="AB356" s="28">
        <v>1</v>
      </c>
      <c r="AC356" s="29">
        <v>1</v>
      </c>
      <c r="AD356" s="30">
        <v>11340</v>
      </c>
      <c r="BA356">
        <v>355</v>
      </c>
      <c r="BB356" s="28">
        <v>1</v>
      </c>
      <c r="BC356" s="28">
        <v>0</v>
      </c>
      <c r="BD356" s="29">
        <v>0.99</v>
      </c>
      <c r="BE356" s="30">
        <v>19400</v>
      </c>
    </row>
    <row r="357" spans="26:57">
      <c r="Z357" s="20">
        <v>356</v>
      </c>
      <c r="AA357" s="28">
        <v>1</v>
      </c>
      <c r="AB357" s="28">
        <v>1</v>
      </c>
      <c r="AC357" s="29">
        <v>1</v>
      </c>
      <c r="AD357" s="30">
        <v>12470</v>
      </c>
      <c r="BA357">
        <v>356</v>
      </c>
      <c r="BB357" s="28">
        <v>1</v>
      </c>
      <c r="BC357" s="28">
        <v>1</v>
      </c>
      <c r="BD357" s="29">
        <v>1</v>
      </c>
      <c r="BE357" s="30">
        <v>17300</v>
      </c>
    </row>
    <row r="358" spans="26:57">
      <c r="Z358" s="20">
        <v>357</v>
      </c>
      <c r="AA358" s="28">
        <v>1</v>
      </c>
      <c r="AB358" s="28">
        <v>1</v>
      </c>
      <c r="AC358" s="29">
        <v>1</v>
      </c>
      <c r="AD358" s="30">
        <v>12770</v>
      </c>
      <c r="BA358">
        <v>357</v>
      </c>
      <c r="BB358" s="28">
        <v>1</v>
      </c>
      <c r="BC358" s="28">
        <v>1</v>
      </c>
      <c r="BD358" s="29">
        <v>1</v>
      </c>
      <c r="BE358" s="30">
        <v>16780</v>
      </c>
    </row>
    <row r="359" spans="26:57">
      <c r="Z359" s="20">
        <v>358</v>
      </c>
      <c r="AA359" s="28">
        <v>1</v>
      </c>
      <c r="AB359" s="28">
        <v>1</v>
      </c>
      <c r="AC359" s="29">
        <v>1</v>
      </c>
      <c r="AD359" s="30">
        <v>13410</v>
      </c>
      <c r="BA359">
        <v>358</v>
      </c>
      <c r="BB359" s="28">
        <v>1</v>
      </c>
      <c r="BC359" s="28">
        <v>0</v>
      </c>
      <c r="BD359" s="29">
        <v>0.99</v>
      </c>
      <c r="BE359" s="30">
        <v>17490</v>
      </c>
    </row>
    <row r="360" spans="26:57">
      <c r="Z360" s="20">
        <v>359</v>
      </c>
      <c r="AA360" s="28">
        <v>1</v>
      </c>
      <c r="AB360" s="28">
        <v>1</v>
      </c>
      <c r="AC360" s="29">
        <v>1</v>
      </c>
      <c r="AD360" s="30">
        <v>13500</v>
      </c>
      <c r="BA360">
        <v>359</v>
      </c>
      <c r="BB360" s="28">
        <v>1</v>
      </c>
      <c r="BC360" s="28">
        <v>0</v>
      </c>
      <c r="BD360" s="29">
        <v>0.99</v>
      </c>
      <c r="BE360" s="30">
        <v>18100</v>
      </c>
    </row>
    <row r="361" spans="26:57">
      <c r="Z361" s="20">
        <v>360</v>
      </c>
      <c r="AA361" s="28">
        <v>1</v>
      </c>
      <c r="AB361" s="28">
        <v>1</v>
      </c>
      <c r="AC361" s="29">
        <v>1</v>
      </c>
      <c r="AD361" s="30">
        <v>11170</v>
      </c>
      <c r="BA361">
        <v>360</v>
      </c>
      <c r="BB361" s="28">
        <v>1</v>
      </c>
      <c r="BC361" s="28">
        <v>0</v>
      </c>
      <c r="BD361" s="29">
        <v>0.97</v>
      </c>
      <c r="BE361" s="30">
        <v>17820</v>
      </c>
    </row>
    <row r="362" spans="26:57">
      <c r="Z362" s="20">
        <v>361</v>
      </c>
      <c r="AA362" s="28">
        <v>1</v>
      </c>
      <c r="AB362" s="28">
        <v>1</v>
      </c>
      <c r="AC362" s="29">
        <v>1</v>
      </c>
      <c r="AD362" s="30">
        <v>12510</v>
      </c>
      <c r="BA362">
        <v>361</v>
      </c>
      <c r="BB362" s="28">
        <v>1</v>
      </c>
      <c r="BC362" s="28">
        <v>1</v>
      </c>
      <c r="BD362" s="29">
        <v>1</v>
      </c>
      <c r="BE362" s="30">
        <v>16470</v>
      </c>
    </row>
    <row r="363" spans="26:57">
      <c r="Z363" s="20">
        <v>362</v>
      </c>
      <c r="AA363" s="28">
        <v>1</v>
      </c>
      <c r="AB363" s="28">
        <v>1</v>
      </c>
      <c r="AC363" s="29">
        <v>1</v>
      </c>
      <c r="AD363" s="30">
        <v>11760</v>
      </c>
      <c r="BA363">
        <v>362</v>
      </c>
      <c r="BB363" s="28">
        <v>1</v>
      </c>
      <c r="BC363" s="28">
        <v>0</v>
      </c>
      <c r="BD363" s="29">
        <v>0.99</v>
      </c>
      <c r="BE363" s="30">
        <v>17100</v>
      </c>
    </row>
    <row r="364" spans="26:57">
      <c r="Z364" s="20">
        <v>363</v>
      </c>
      <c r="AA364" s="28">
        <v>1</v>
      </c>
      <c r="AB364" s="28">
        <v>1</v>
      </c>
      <c r="AC364" s="29">
        <v>1</v>
      </c>
      <c r="AD364" s="30">
        <v>14270</v>
      </c>
      <c r="BA364">
        <v>363</v>
      </c>
      <c r="BB364" s="28">
        <v>1</v>
      </c>
      <c r="BC364" s="28">
        <v>1</v>
      </c>
      <c r="BD364" s="29">
        <v>1</v>
      </c>
      <c r="BE364" s="30">
        <v>15420</v>
      </c>
    </row>
    <row r="365" spans="26:57">
      <c r="Z365" s="20">
        <v>364</v>
      </c>
      <c r="AA365" s="28">
        <v>1</v>
      </c>
      <c r="AB365" s="28">
        <v>1</v>
      </c>
      <c r="AC365" s="29">
        <v>1</v>
      </c>
      <c r="AD365" s="30">
        <v>11880</v>
      </c>
      <c r="BA365">
        <v>364</v>
      </c>
      <c r="BB365" s="28">
        <v>1</v>
      </c>
      <c r="BC365" s="28">
        <v>1</v>
      </c>
      <c r="BD365" s="29">
        <v>1</v>
      </c>
      <c r="BE365" s="30">
        <v>15620</v>
      </c>
    </row>
    <row r="366" spans="26:57">
      <c r="Z366" s="20">
        <v>365</v>
      </c>
      <c r="AA366" s="28">
        <v>1</v>
      </c>
      <c r="AB366" s="28">
        <v>1</v>
      </c>
      <c r="AC366" s="29">
        <v>1</v>
      </c>
      <c r="AD366" s="30">
        <v>10420</v>
      </c>
      <c r="BA366">
        <v>365</v>
      </c>
      <c r="BB366" s="28">
        <v>1</v>
      </c>
      <c r="BC366" s="28">
        <v>0</v>
      </c>
      <c r="BD366" s="29">
        <v>0.99</v>
      </c>
      <c r="BE366" s="30">
        <v>20290</v>
      </c>
    </row>
    <row r="367" spans="26:57">
      <c r="Z367" s="20">
        <v>366</v>
      </c>
      <c r="AA367" s="28">
        <v>1</v>
      </c>
      <c r="AB367" s="28">
        <v>1</v>
      </c>
      <c r="AC367" s="29">
        <v>1</v>
      </c>
      <c r="AD367" s="30">
        <v>11660</v>
      </c>
      <c r="BA367">
        <v>366</v>
      </c>
      <c r="BB367" s="28">
        <v>1</v>
      </c>
      <c r="BC367" s="28">
        <v>0</v>
      </c>
      <c r="BD367" s="29">
        <v>0.97</v>
      </c>
      <c r="BE367" s="30">
        <v>18310</v>
      </c>
    </row>
    <row r="368" spans="26:57">
      <c r="Z368" s="20">
        <v>367</v>
      </c>
      <c r="AA368" s="28">
        <v>1</v>
      </c>
      <c r="AB368" s="28">
        <v>1</v>
      </c>
      <c r="AC368" s="29">
        <v>1</v>
      </c>
      <c r="AD368" s="30">
        <v>13760</v>
      </c>
      <c r="BA368">
        <v>367</v>
      </c>
      <c r="BB368" s="28">
        <v>1</v>
      </c>
      <c r="BC368" s="28">
        <v>1</v>
      </c>
      <c r="BD368" s="29">
        <v>1</v>
      </c>
      <c r="BE368" s="30">
        <v>16560</v>
      </c>
    </row>
    <row r="369" spans="26:57">
      <c r="Z369" s="20">
        <v>368</v>
      </c>
      <c r="AA369" s="28">
        <v>1</v>
      </c>
      <c r="AB369" s="28">
        <v>1</v>
      </c>
      <c r="AC369" s="29">
        <v>1</v>
      </c>
      <c r="AD369" s="30">
        <v>11940</v>
      </c>
      <c r="BA369">
        <v>368</v>
      </c>
      <c r="BB369" s="28">
        <v>1</v>
      </c>
      <c r="BC369" s="28">
        <v>0</v>
      </c>
      <c r="BD369" s="29">
        <v>0.98</v>
      </c>
      <c r="BE369" s="30">
        <v>19010</v>
      </c>
    </row>
    <row r="370" spans="26:57">
      <c r="Z370" s="20">
        <v>369</v>
      </c>
      <c r="AA370" s="28">
        <v>1</v>
      </c>
      <c r="AB370" s="28">
        <v>1</v>
      </c>
      <c r="AC370" s="29">
        <v>1</v>
      </c>
      <c r="AD370" s="30">
        <v>13610</v>
      </c>
      <c r="BA370">
        <v>369</v>
      </c>
      <c r="BB370" s="28">
        <v>1</v>
      </c>
      <c r="BC370" s="28">
        <v>1</v>
      </c>
      <c r="BD370" s="29">
        <v>1</v>
      </c>
      <c r="BE370" s="30">
        <v>15660</v>
      </c>
    </row>
    <row r="371" spans="26:57">
      <c r="Z371" s="20">
        <v>370</v>
      </c>
      <c r="AA371" s="28">
        <v>1</v>
      </c>
      <c r="AB371" s="28">
        <v>1</v>
      </c>
      <c r="AC371" s="29">
        <v>1</v>
      </c>
      <c r="AD371" s="30">
        <v>13420</v>
      </c>
      <c r="BA371">
        <v>370</v>
      </c>
      <c r="BB371" s="28">
        <v>1</v>
      </c>
      <c r="BC371" s="28">
        <v>1</v>
      </c>
      <c r="BD371" s="29">
        <v>1</v>
      </c>
      <c r="BE371" s="30">
        <v>18370</v>
      </c>
    </row>
    <row r="372" spans="26:57">
      <c r="Z372" s="20">
        <v>371</v>
      </c>
      <c r="AA372" s="28">
        <v>1</v>
      </c>
      <c r="AB372" s="28">
        <v>1</v>
      </c>
      <c r="AC372" s="29">
        <v>1</v>
      </c>
      <c r="AD372" s="30">
        <v>14260</v>
      </c>
      <c r="BA372">
        <v>371</v>
      </c>
      <c r="BB372" s="28">
        <v>1</v>
      </c>
      <c r="BC372" s="28">
        <v>1</v>
      </c>
      <c r="BD372" s="29">
        <v>1</v>
      </c>
      <c r="BE372" s="30">
        <v>14730</v>
      </c>
    </row>
    <row r="373" spans="26:57">
      <c r="Z373" s="20">
        <v>372</v>
      </c>
      <c r="AA373" s="28">
        <v>1</v>
      </c>
      <c r="AB373" s="28">
        <v>1</v>
      </c>
      <c r="AC373" s="29">
        <v>1</v>
      </c>
      <c r="AD373" s="30">
        <v>14620</v>
      </c>
      <c r="BA373">
        <v>372</v>
      </c>
      <c r="BB373" s="28">
        <v>1</v>
      </c>
      <c r="BC373" s="28">
        <v>1</v>
      </c>
      <c r="BD373" s="29">
        <v>1</v>
      </c>
      <c r="BE373" s="30">
        <v>15510</v>
      </c>
    </row>
    <row r="374" spans="26:57">
      <c r="Z374" s="20">
        <v>373</v>
      </c>
      <c r="AA374" s="28">
        <v>1</v>
      </c>
      <c r="AB374" s="28">
        <v>1</v>
      </c>
      <c r="AC374" s="29">
        <v>1</v>
      </c>
      <c r="AD374" s="30">
        <v>12600</v>
      </c>
      <c r="BA374">
        <v>373</v>
      </c>
      <c r="BB374" s="28">
        <v>1</v>
      </c>
      <c r="BC374" s="28">
        <v>0</v>
      </c>
      <c r="BD374" s="29">
        <v>0.99</v>
      </c>
      <c r="BE374" s="30">
        <v>16800</v>
      </c>
    </row>
    <row r="375" spans="26:57">
      <c r="Z375" s="20">
        <v>374</v>
      </c>
      <c r="AA375" s="28">
        <v>1</v>
      </c>
      <c r="AB375" s="28">
        <v>1</v>
      </c>
      <c r="AC375" s="29">
        <v>1</v>
      </c>
      <c r="AD375" s="30">
        <v>13670</v>
      </c>
      <c r="BA375">
        <v>374</v>
      </c>
      <c r="BB375" s="28">
        <v>1</v>
      </c>
      <c r="BC375" s="28">
        <v>1</v>
      </c>
      <c r="BD375" s="29">
        <v>1</v>
      </c>
      <c r="BE375" s="30">
        <v>16440</v>
      </c>
    </row>
    <row r="376" spans="26:57">
      <c r="Z376" s="20">
        <v>375</v>
      </c>
      <c r="AA376" s="28">
        <v>1</v>
      </c>
      <c r="AB376" s="28">
        <v>1</v>
      </c>
      <c r="AC376" s="29">
        <v>1</v>
      </c>
      <c r="AD376" s="30">
        <v>11550</v>
      </c>
      <c r="BA376">
        <v>375</v>
      </c>
      <c r="BB376" s="28">
        <v>1</v>
      </c>
      <c r="BC376" s="28">
        <v>1</v>
      </c>
      <c r="BD376" s="29">
        <v>1</v>
      </c>
      <c r="BE376" s="30">
        <v>15780</v>
      </c>
    </row>
    <row r="377" spans="26:57">
      <c r="Z377" s="20">
        <v>376</v>
      </c>
      <c r="AA377" s="28">
        <v>1</v>
      </c>
      <c r="AB377" s="28">
        <v>1</v>
      </c>
      <c r="AC377" s="29">
        <v>1</v>
      </c>
      <c r="AD377" s="30">
        <v>11620</v>
      </c>
      <c r="BA377">
        <v>376</v>
      </c>
      <c r="BB377" s="28">
        <v>1</v>
      </c>
      <c r="BC377" s="28">
        <v>0</v>
      </c>
      <c r="BD377" s="29">
        <v>0.99</v>
      </c>
      <c r="BE377" s="30">
        <v>17120</v>
      </c>
    </row>
    <row r="378" spans="26:57">
      <c r="Z378" s="20">
        <v>377</v>
      </c>
      <c r="AA378" s="28">
        <v>1</v>
      </c>
      <c r="AB378" s="28">
        <v>1</v>
      </c>
      <c r="AC378" s="29">
        <v>1</v>
      </c>
      <c r="AD378" s="30">
        <v>12360</v>
      </c>
      <c r="BA378">
        <v>377</v>
      </c>
      <c r="BB378" s="28">
        <v>1</v>
      </c>
      <c r="BC378" s="28">
        <v>0</v>
      </c>
      <c r="BD378" s="29">
        <v>0.99</v>
      </c>
      <c r="BE378" s="30">
        <v>18160</v>
      </c>
    </row>
    <row r="379" spans="26:57">
      <c r="Z379" s="20">
        <v>378</v>
      </c>
      <c r="AA379" s="28">
        <v>1</v>
      </c>
      <c r="AB379" s="28">
        <v>1</v>
      </c>
      <c r="AC379" s="29">
        <v>1</v>
      </c>
      <c r="AD379" s="30">
        <v>11260</v>
      </c>
      <c r="BA379">
        <v>378</v>
      </c>
      <c r="BB379" s="28">
        <v>1</v>
      </c>
      <c r="BC379" s="28">
        <v>1</v>
      </c>
      <c r="BD379" s="29">
        <v>1</v>
      </c>
      <c r="BE379" s="30">
        <v>16390</v>
      </c>
    </row>
    <row r="380" spans="26:57">
      <c r="Z380" s="20">
        <v>379</v>
      </c>
      <c r="AA380" s="28">
        <v>1</v>
      </c>
      <c r="AB380" s="28">
        <v>1</v>
      </c>
      <c r="AC380" s="29">
        <v>1</v>
      </c>
      <c r="AD380" s="30">
        <v>12850</v>
      </c>
      <c r="BA380">
        <v>379</v>
      </c>
      <c r="BB380" s="28">
        <v>1</v>
      </c>
      <c r="BC380" s="28">
        <v>0</v>
      </c>
      <c r="BD380" s="29">
        <v>0.98</v>
      </c>
      <c r="BE380" s="30">
        <v>17640</v>
      </c>
    </row>
    <row r="381" spans="26:57">
      <c r="Z381" s="20">
        <v>380</v>
      </c>
      <c r="AA381" s="28">
        <v>1</v>
      </c>
      <c r="AB381" s="28">
        <v>1</v>
      </c>
      <c r="AC381" s="29">
        <v>1</v>
      </c>
      <c r="AD381" s="30">
        <v>12950</v>
      </c>
      <c r="BA381">
        <v>380</v>
      </c>
      <c r="BB381" s="28">
        <v>1</v>
      </c>
      <c r="BC381" s="28">
        <v>0</v>
      </c>
      <c r="BD381" s="29">
        <v>0.99</v>
      </c>
      <c r="BE381" s="30">
        <v>18720</v>
      </c>
    </row>
    <row r="382" spans="26:57">
      <c r="Z382" s="20">
        <v>381</v>
      </c>
      <c r="AA382" s="28">
        <v>1</v>
      </c>
      <c r="AB382" s="28">
        <v>1</v>
      </c>
      <c r="AC382" s="29">
        <v>1</v>
      </c>
      <c r="AD382" s="30">
        <v>13750</v>
      </c>
      <c r="BA382">
        <v>381</v>
      </c>
      <c r="BB382" s="28">
        <v>1</v>
      </c>
      <c r="BC382" s="28">
        <v>0</v>
      </c>
      <c r="BD382" s="29">
        <v>0.99</v>
      </c>
      <c r="BE382" s="30">
        <v>18800</v>
      </c>
    </row>
    <row r="383" spans="26:57">
      <c r="Z383" s="20">
        <v>382</v>
      </c>
      <c r="AA383" s="28">
        <v>1</v>
      </c>
      <c r="AB383" s="28">
        <v>1</v>
      </c>
      <c r="AC383" s="29">
        <v>1</v>
      </c>
      <c r="AD383" s="30">
        <v>12010</v>
      </c>
      <c r="BA383">
        <v>382</v>
      </c>
      <c r="BB383" s="28">
        <v>1</v>
      </c>
      <c r="BC383" s="28">
        <v>0</v>
      </c>
      <c r="BD383" s="29">
        <v>0.99</v>
      </c>
      <c r="BE383" s="30">
        <v>17530</v>
      </c>
    </row>
    <row r="384" spans="26:57">
      <c r="Z384" s="20">
        <v>383</v>
      </c>
      <c r="AA384" s="28">
        <v>1</v>
      </c>
      <c r="AB384" s="28">
        <v>1</v>
      </c>
      <c r="AC384" s="29">
        <v>1</v>
      </c>
      <c r="AD384" s="30">
        <v>13150</v>
      </c>
      <c r="BA384">
        <v>383</v>
      </c>
      <c r="BB384" s="28">
        <v>1</v>
      </c>
      <c r="BC384" s="28">
        <v>1</v>
      </c>
      <c r="BD384" s="29">
        <v>1</v>
      </c>
      <c r="BE384" s="30">
        <v>15550</v>
      </c>
    </row>
    <row r="385" spans="26:57">
      <c r="Z385" s="20">
        <v>384</v>
      </c>
      <c r="AA385" s="28">
        <v>1</v>
      </c>
      <c r="AB385" s="28">
        <v>1</v>
      </c>
      <c r="AC385" s="29">
        <v>1</v>
      </c>
      <c r="AD385" s="30">
        <v>11550</v>
      </c>
      <c r="BA385">
        <v>384</v>
      </c>
      <c r="BB385" s="28">
        <v>1</v>
      </c>
      <c r="BC385" s="28">
        <v>1</v>
      </c>
      <c r="BD385" s="29">
        <v>1</v>
      </c>
      <c r="BE385" s="30">
        <v>16270</v>
      </c>
    </row>
    <row r="386" spans="26:57">
      <c r="Z386" s="20">
        <v>385</v>
      </c>
      <c r="AA386" s="28">
        <v>1</v>
      </c>
      <c r="AB386" s="28">
        <v>1</v>
      </c>
      <c r="AC386" s="29">
        <v>1</v>
      </c>
      <c r="AD386" s="30">
        <v>11240</v>
      </c>
      <c r="BA386">
        <v>385</v>
      </c>
      <c r="BB386" s="28">
        <v>1</v>
      </c>
      <c r="BC386" s="28">
        <v>1</v>
      </c>
      <c r="BD386" s="29">
        <v>1</v>
      </c>
      <c r="BE386" s="30">
        <v>16020</v>
      </c>
    </row>
    <row r="387" spans="26:57">
      <c r="Z387" s="20">
        <v>386</v>
      </c>
      <c r="AA387" s="28">
        <v>1</v>
      </c>
      <c r="AB387" s="28">
        <v>1</v>
      </c>
      <c r="AC387" s="29">
        <v>1</v>
      </c>
      <c r="AD387" s="30">
        <v>12650</v>
      </c>
      <c r="BA387">
        <v>386</v>
      </c>
      <c r="BB387" s="28">
        <v>1</v>
      </c>
      <c r="BC387" s="28">
        <v>1</v>
      </c>
      <c r="BD387" s="29">
        <v>1</v>
      </c>
      <c r="BE387" s="30">
        <v>15570</v>
      </c>
    </row>
    <row r="388" spans="26:57">
      <c r="Z388" s="20">
        <v>387</v>
      </c>
      <c r="AA388" s="28">
        <v>1</v>
      </c>
      <c r="AB388" s="28">
        <v>1</v>
      </c>
      <c r="AC388" s="29">
        <v>1</v>
      </c>
      <c r="AD388" s="30">
        <v>11320</v>
      </c>
      <c r="BA388">
        <v>387</v>
      </c>
      <c r="BB388" s="28">
        <v>1</v>
      </c>
      <c r="BC388" s="28">
        <v>0</v>
      </c>
      <c r="BD388" s="29">
        <v>0.99</v>
      </c>
      <c r="BE388" s="30">
        <v>17610</v>
      </c>
    </row>
    <row r="389" spans="26:57">
      <c r="Z389" s="20">
        <v>388</v>
      </c>
      <c r="AA389" s="28">
        <v>1</v>
      </c>
      <c r="AB389" s="28">
        <v>1</v>
      </c>
      <c r="AC389" s="29">
        <v>1</v>
      </c>
      <c r="AD389" s="30">
        <v>13290</v>
      </c>
      <c r="BA389">
        <v>388</v>
      </c>
      <c r="BB389" s="28">
        <v>1</v>
      </c>
      <c r="BC389" s="28">
        <v>0</v>
      </c>
      <c r="BD389" s="29">
        <v>0.99</v>
      </c>
      <c r="BE389" s="30">
        <v>16930</v>
      </c>
    </row>
    <row r="390" spans="26:57">
      <c r="Z390" s="20">
        <v>389</v>
      </c>
      <c r="AA390" s="28">
        <v>1</v>
      </c>
      <c r="AB390" s="28">
        <v>1</v>
      </c>
      <c r="AC390" s="29">
        <v>1</v>
      </c>
      <c r="AD390" s="30">
        <v>13030</v>
      </c>
      <c r="BA390">
        <v>389</v>
      </c>
      <c r="BB390" s="28">
        <v>1</v>
      </c>
      <c r="BC390" s="28">
        <v>1</v>
      </c>
      <c r="BD390" s="29">
        <v>1</v>
      </c>
      <c r="BE390" s="30">
        <v>17370</v>
      </c>
    </row>
    <row r="391" spans="26:57">
      <c r="Z391" s="20">
        <v>390</v>
      </c>
      <c r="AA391" s="28">
        <v>1</v>
      </c>
      <c r="AB391" s="28">
        <v>1</v>
      </c>
      <c r="AC391" s="29">
        <v>1</v>
      </c>
      <c r="AD391" s="30">
        <v>13790</v>
      </c>
      <c r="BA391">
        <v>390</v>
      </c>
      <c r="BB391" s="28">
        <v>1</v>
      </c>
      <c r="BC391" s="28">
        <v>1</v>
      </c>
      <c r="BD391" s="29">
        <v>1</v>
      </c>
      <c r="BE391" s="30">
        <v>20100</v>
      </c>
    </row>
    <row r="392" spans="26:57">
      <c r="Z392" s="20">
        <v>391</v>
      </c>
      <c r="AA392" s="28">
        <v>1</v>
      </c>
      <c r="AB392" s="28">
        <v>1</v>
      </c>
      <c r="AC392" s="29">
        <v>1</v>
      </c>
      <c r="AD392" s="30">
        <v>15350</v>
      </c>
      <c r="BA392">
        <v>391</v>
      </c>
      <c r="BB392" s="28">
        <v>1</v>
      </c>
      <c r="BC392" s="28">
        <v>1</v>
      </c>
      <c r="BD392" s="29">
        <v>1</v>
      </c>
      <c r="BE392" s="30">
        <v>17570</v>
      </c>
    </row>
    <row r="393" spans="26:57">
      <c r="Z393" s="20">
        <v>392</v>
      </c>
      <c r="AA393" s="28">
        <v>1</v>
      </c>
      <c r="AB393" s="28">
        <v>1</v>
      </c>
      <c r="AC393" s="29">
        <v>1</v>
      </c>
      <c r="AD393" s="30">
        <v>13000</v>
      </c>
      <c r="BA393">
        <v>392</v>
      </c>
      <c r="BB393" s="28">
        <v>1</v>
      </c>
      <c r="BC393" s="28">
        <v>0</v>
      </c>
      <c r="BD393" s="29">
        <v>0.99</v>
      </c>
      <c r="BE393" s="30">
        <v>16610</v>
      </c>
    </row>
    <row r="394" spans="26:57">
      <c r="Z394" s="20">
        <v>393</v>
      </c>
      <c r="AA394" s="28">
        <v>1</v>
      </c>
      <c r="AB394" s="28">
        <v>1</v>
      </c>
      <c r="AC394" s="29">
        <v>1</v>
      </c>
      <c r="AD394" s="30">
        <v>12080</v>
      </c>
      <c r="BA394">
        <v>393</v>
      </c>
      <c r="BB394" s="28">
        <v>1</v>
      </c>
      <c r="BC394" s="28">
        <v>1</v>
      </c>
      <c r="BD394" s="29">
        <v>1</v>
      </c>
      <c r="BE394" s="30">
        <v>17200</v>
      </c>
    </row>
    <row r="395" spans="26:57">
      <c r="Z395" s="20">
        <v>394</v>
      </c>
      <c r="AA395" s="28">
        <v>1</v>
      </c>
      <c r="AB395" s="28">
        <v>1</v>
      </c>
      <c r="AC395" s="29">
        <v>1</v>
      </c>
      <c r="AD395" s="30">
        <v>12570</v>
      </c>
      <c r="BA395">
        <v>394</v>
      </c>
      <c r="BB395" s="28">
        <v>1</v>
      </c>
      <c r="BC395" s="28">
        <v>1</v>
      </c>
      <c r="BD395" s="29">
        <v>1</v>
      </c>
      <c r="BE395" s="30">
        <v>18200</v>
      </c>
    </row>
    <row r="396" spans="26:57">
      <c r="Z396" s="20">
        <v>395</v>
      </c>
      <c r="AA396" s="28">
        <v>1</v>
      </c>
      <c r="AB396" s="28">
        <v>1</v>
      </c>
      <c r="AC396" s="29">
        <v>1</v>
      </c>
      <c r="AD396" s="30">
        <v>13060</v>
      </c>
      <c r="BA396">
        <v>395</v>
      </c>
      <c r="BB396" s="28">
        <v>1</v>
      </c>
      <c r="BC396" s="28">
        <v>1</v>
      </c>
      <c r="BD396" s="29">
        <v>1</v>
      </c>
      <c r="BE396" s="30">
        <v>16130</v>
      </c>
    </row>
    <row r="397" spans="26:57">
      <c r="Z397" s="20">
        <v>396</v>
      </c>
      <c r="AA397" s="28">
        <v>1</v>
      </c>
      <c r="AB397" s="28">
        <v>1</v>
      </c>
      <c r="AC397" s="29">
        <v>1</v>
      </c>
      <c r="AD397" s="30">
        <v>12660</v>
      </c>
      <c r="BA397">
        <v>396</v>
      </c>
      <c r="BB397" s="28">
        <v>1</v>
      </c>
      <c r="BC397" s="28">
        <v>0</v>
      </c>
      <c r="BD397" s="29">
        <v>0.99</v>
      </c>
      <c r="BE397" s="30">
        <v>18540</v>
      </c>
    </row>
    <row r="398" spans="26:57">
      <c r="Z398" s="20">
        <v>397</v>
      </c>
      <c r="AA398" s="28">
        <v>1</v>
      </c>
      <c r="AB398" s="28">
        <v>1</v>
      </c>
      <c r="AC398" s="29">
        <v>1</v>
      </c>
      <c r="AD398" s="30">
        <v>11940</v>
      </c>
      <c r="BA398">
        <v>397</v>
      </c>
      <c r="BB398" s="28">
        <v>1</v>
      </c>
      <c r="BC398" s="28">
        <v>1</v>
      </c>
      <c r="BD398" s="29">
        <v>1</v>
      </c>
      <c r="BE398" s="30">
        <v>16880</v>
      </c>
    </row>
    <row r="399" spans="26:57">
      <c r="Z399" s="20">
        <v>398</v>
      </c>
      <c r="AA399" s="28">
        <v>1</v>
      </c>
      <c r="AB399" s="28">
        <v>1</v>
      </c>
      <c r="AC399" s="29">
        <v>1</v>
      </c>
      <c r="AD399" s="30">
        <v>12170</v>
      </c>
      <c r="BA399">
        <v>398</v>
      </c>
      <c r="BB399" s="28">
        <v>1</v>
      </c>
      <c r="BC399" s="28">
        <v>0</v>
      </c>
      <c r="BD399" s="29">
        <v>0.99</v>
      </c>
      <c r="BE399" s="30">
        <v>21620</v>
      </c>
    </row>
    <row r="400" spans="26:57">
      <c r="Z400" s="20">
        <v>399</v>
      </c>
      <c r="AA400" s="28">
        <v>1</v>
      </c>
      <c r="AB400" s="28">
        <v>1</v>
      </c>
      <c r="AC400" s="29">
        <v>1</v>
      </c>
      <c r="AD400" s="30">
        <v>13160</v>
      </c>
      <c r="BA400">
        <v>399</v>
      </c>
      <c r="BB400" s="28">
        <v>1</v>
      </c>
      <c r="BC400" s="28">
        <v>0</v>
      </c>
      <c r="BD400" s="29">
        <v>0.99</v>
      </c>
      <c r="BE400" s="30">
        <v>17290</v>
      </c>
    </row>
    <row r="401" spans="26:57">
      <c r="Z401" s="20">
        <v>400</v>
      </c>
      <c r="AA401" s="28">
        <v>1</v>
      </c>
      <c r="AB401" s="28">
        <v>1</v>
      </c>
      <c r="AC401" s="29">
        <v>1</v>
      </c>
      <c r="AD401" s="30">
        <v>12190</v>
      </c>
      <c r="BA401">
        <v>400</v>
      </c>
      <c r="BB401" s="28">
        <v>1</v>
      </c>
      <c r="BC401" s="28">
        <v>0</v>
      </c>
      <c r="BD401" s="29">
        <v>0.99</v>
      </c>
      <c r="BE401" s="30">
        <v>16980</v>
      </c>
    </row>
    <row r="402" spans="26:57">
      <c r="Z402" s="20">
        <v>401</v>
      </c>
      <c r="AA402" s="28">
        <v>1</v>
      </c>
      <c r="AB402" s="28">
        <v>1</v>
      </c>
      <c r="AC402" s="29">
        <v>1</v>
      </c>
      <c r="AD402" s="30">
        <v>11280</v>
      </c>
      <c r="BA402">
        <v>401</v>
      </c>
      <c r="BB402" s="28">
        <v>1</v>
      </c>
      <c r="BC402" s="28">
        <v>1</v>
      </c>
      <c r="BD402" s="29">
        <v>1</v>
      </c>
      <c r="BE402" s="30">
        <v>20230</v>
      </c>
    </row>
    <row r="403" spans="26:57">
      <c r="Z403" s="20">
        <v>402</v>
      </c>
      <c r="AA403" s="28">
        <v>1</v>
      </c>
      <c r="AB403" s="28">
        <v>1</v>
      </c>
      <c r="AC403" s="29">
        <v>1</v>
      </c>
      <c r="AD403" s="30">
        <v>12790</v>
      </c>
      <c r="BA403">
        <v>402</v>
      </c>
      <c r="BB403" s="28">
        <v>1</v>
      </c>
      <c r="BC403" s="28">
        <v>1</v>
      </c>
      <c r="BD403" s="29">
        <v>1</v>
      </c>
      <c r="BE403" s="30">
        <v>17620</v>
      </c>
    </row>
    <row r="404" spans="26:57">
      <c r="Z404" s="20">
        <v>403</v>
      </c>
      <c r="AA404" s="28">
        <v>1</v>
      </c>
      <c r="AB404" s="28">
        <v>1</v>
      </c>
      <c r="AC404" s="29">
        <v>1</v>
      </c>
      <c r="AD404" s="30">
        <v>12790</v>
      </c>
      <c r="BA404">
        <v>403</v>
      </c>
      <c r="BB404" s="28">
        <v>1</v>
      </c>
      <c r="BC404" s="28">
        <v>1</v>
      </c>
      <c r="BD404" s="29">
        <v>1</v>
      </c>
      <c r="BE404" s="30">
        <v>16670</v>
      </c>
    </row>
    <row r="405" spans="26:57">
      <c r="Z405" s="20">
        <v>404</v>
      </c>
      <c r="AA405" s="28">
        <v>1</v>
      </c>
      <c r="AB405" s="28">
        <v>1</v>
      </c>
      <c r="AC405" s="29">
        <v>1</v>
      </c>
      <c r="AD405" s="30">
        <v>12470</v>
      </c>
      <c r="BA405">
        <v>404</v>
      </c>
      <c r="BB405" s="28">
        <v>1</v>
      </c>
      <c r="BC405" s="28">
        <v>0</v>
      </c>
      <c r="BD405" s="29">
        <v>0.99</v>
      </c>
      <c r="BE405" s="30">
        <v>16150</v>
      </c>
    </row>
    <row r="406" spans="26:57">
      <c r="Z406" s="20">
        <v>405</v>
      </c>
      <c r="AA406" s="28">
        <v>1</v>
      </c>
      <c r="AB406" s="28">
        <v>1</v>
      </c>
      <c r="AC406" s="29">
        <v>1</v>
      </c>
      <c r="AD406" s="30">
        <v>11400</v>
      </c>
      <c r="BA406">
        <v>405</v>
      </c>
      <c r="BB406" s="28">
        <v>1</v>
      </c>
      <c r="BC406" s="28">
        <v>0</v>
      </c>
      <c r="BD406" s="29">
        <v>0.98</v>
      </c>
      <c r="BE406" s="30">
        <v>18920</v>
      </c>
    </row>
    <row r="407" spans="26:57">
      <c r="Z407" s="20">
        <v>406</v>
      </c>
      <c r="AA407" s="28">
        <v>1</v>
      </c>
      <c r="AB407" s="28">
        <v>1</v>
      </c>
      <c r="AC407" s="29">
        <v>1</v>
      </c>
      <c r="AD407" s="30">
        <v>11760</v>
      </c>
      <c r="BA407">
        <v>406</v>
      </c>
      <c r="BB407" s="28">
        <v>1</v>
      </c>
      <c r="BC407" s="28">
        <v>0</v>
      </c>
      <c r="BD407" s="29">
        <v>0.99</v>
      </c>
      <c r="BE407" s="30">
        <v>17800</v>
      </c>
    </row>
    <row r="408" spans="26:57">
      <c r="Z408" s="20">
        <v>407</v>
      </c>
      <c r="AA408" s="28">
        <v>1</v>
      </c>
      <c r="AB408" s="28">
        <v>1</v>
      </c>
      <c r="AC408" s="29">
        <v>1</v>
      </c>
      <c r="AD408" s="30">
        <v>11530</v>
      </c>
      <c r="BA408">
        <v>407</v>
      </c>
      <c r="BB408" s="28">
        <v>1</v>
      </c>
      <c r="BC408" s="28">
        <v>0</v>
      </c>
      <c r="BD408" s="29">
        <v>0.99</v>
      </c>
      <c r="BE408" s="30">
        <v>18670</v>
      </c>
    </row>
    <row r="409" spans="26:57">
      <c r="Z409" s="20">
        <v>408</v>
      </c>
      <c r="AA409" s="28">
        <v>1</v>
      </c>
      <c r="AB409" s="28">
        <v>1</v>
      </c>
      <c r="AC409" s="29">
        <v>1</v>
      </c>
      <c r="AD409" s="30">
        <v>12030</v>
      </c>
      <c r="BA409">
        <v>408</v>
      </c>
      <c r="BB409" s="28">
        <v>1</v>
      </c>
      <c r="BC409" s="28">
        <v>0</v>
      </c>
      <c r="BD409" s="29">
        <v>0.95</v>
      </c>
      <c r="BE409" s="30">
        <v>21300</v>
      </c>
    </row>
    <row r="410" spans="26:57">
      <c r="Z410" s="20">
        <v>409</v>
      </c>
      <c r="AA410" s="28">
        <v>1</v>
      </c>
      <c r="AB410" s="28">
        <v>1</v>
      </c>
      <c r="AC410" s="29">
        <v>1</v>
      </c>
      <c r="AD410" s="30">
        <v>11860</v>
      </c>
      <c r="BA410">
        <v>409</v>
      </c>
      <c r="BB410" s="28">
        <v>1</v>
      </c>
      <c r="BC410" s="28">
        <v>1</v>
      </c>
      <c r="BD410" s="29">
        <v>1</v>
      </c>
      <c r="BE410" s="30">
        <v>14060</v>
      </c>
    </row>
    <row r="411" spans="26:57">
      <c r="Z411" s="20">
        <v>410</v>
      </c>
      <c r="AA411" s="28">
        <v>1</v>
      </c>
      <c r="AB411" s="28">
        <v>1</v>
      </c>
      <c r="AC411" s="29">
        <v>1</v>
      </c>
      <c r="AD411" s="30">
        <v>11670</v>
      </c>
      <c r="BA411">
        <v>410</v>
      </c>
      <c r="BB411" s="28">
        <v>1</v>
      </c>
      <c r="BC411" s="28">
        <v>1</v>
      </c>
      <c r="BD411" s="29">
        <v>1</v>
      </c>
      <c r="BE411" s="30">
        <v>15700</v>
      </c>
    </row>
    <row r="412" spans="26:57">
      <c r="Z412" s="20">
        <v>411</v>
      </c>
      <c r="AA412" s="28">
        <v>1</v>
      </c>
      <c r="AB412" s="28">
        <v>1</v>
      </c>
      <c r="AC412" s="29">
        <v>1</v>
      </c>
      <c r="AD412" s="30">
        <v>13050</v>
      </c>
      <c r="BA412">
        <v>411</v>
      </c>
      <c r="BB412" s="28">
        <v>1</v>
      </c>
      <c r="BC412" s="28">
        <v>0</v>
      </c>
      <c r="BD412" s="29">
        <v>0.98</v>
      </c>
      <c r="BE412" s="30">
        <v>18260</v>
      </c>
    </row>
    <row r="413" spans="26:57">
      <c r="Z413" s="20">
        <v>412</v>
      </c>
      <c r="AA413" s="28">
        <v>1</v>
      </c>
      <c r="AB413" s="28">
        <v>1</v>
      </c>
      <c r="AC413" s="29">
        <v>1</v>
      </c>
      <c r="AD413" s="30">
        <v>11980</v>
      </c>
      <c r="BA413">
        <v>412</v>
      </c>
      <c r="BB413" s="28">
        <v>1</v>
      </c>
      <c r="BC413" s="28">
        <v>0</v>
      </c>
      <c r="BD413" s="29">
        <v>0.99</v>
      </c>
      <c r="BE413" s="30">
        <v>16570</v>
      </c>
    </row>
    <row r="414" spans="26:57">
      <c r="Z414" s="20">
        <v>413</v>
      </c>
      <c r="AA414" s="28">
        <v>1</v>
      </c>
      <c r="AB414" s="28">
        <v>1</v>
      </c>
      <c r="AC414" s="29">
        <v>1</v>
      </c>
      <c r="AD414" s="30">
        <v>12140</v>
      </c>
      <c r="BA414">
        <v>413</v>
      </c>
      <c r="BB414" s="28">
        <v>1</v>
      </c>
      <c r="BC414" s="28">
        <v>0</v>
      </c>
      <c r="BD414" s="29">
        <v>0.99</v>
      </c>
      <c r="BE414" s="30">
        <v>16930</v>
      </c>
    </row>
    <row r="415" spans="26:57">
      <c r="Z415" s="20">
        <v>414</v>
      </c>
      <c r="AA415" s="28">
        <v>1</v>
      </c>
      <c r="AB415" s="28">
        <v>1</v>
      </c>
      <c r="AC415" s="29">
        <v>1</v>
      </c>
      <c r="AD415" s="30">
        <v>13390</v>
      </c>
      <c r="BA415">
        <v>414</v>
      </c>
      <c r="BB415" s="28">
        <v>1</v>
      </c>
      <c r="BC415" s="28">
        <v>1</v>
      </c>
      <c r="BD415" s="29">
        <v>1</v>
      </c>
      <c r="BE415" s="30">
        <v>15710</v>
      </c>
    </row>
    <row r="416" spans="26:57">
      <c r="Z416" s="20">
        <v>415</v>
      </c>
      <c r="AA416" s="28">
        <v>1</v>
      </c>
      <c r="AB416" s="28">
        <v>1</v>
      </c>
      <c r="AC416" s="29">
        <v>1</v>
      </c>
      <c r="AD416" s="30">
        <v>13400</v>
      </c>
      <c r="BA416">
        <v>415</v>
      </c>
      <c r="BB416" s="28">
        <v>1</v>
      </c>
      <c r="BC416" s="28">
        <v>1</v>
      </c>
      <c r="BD416" s="29">
        <v>1</v>
      </c>
      <c r="BE416" s="30">
        <v>17280</v>
      </c>
    </row>
    <row r="417" spans="26:57">
      <c r="Z417" s="20">
        <v>416</v>
      </c>
      <c r="AA417" s="28">
        <v>1</v>
      </c>
      <c r="AB417" s="28">
        <v>1</v>
      </c>
      <c r="AC417" s="29">
        <v>1</v>
      </c>
      <c r="AD417" s="30">
        <v>12460</v>
      </c>
      <c r="BA417">
        <v>416</v>
      </c>
      <c r="BB417" s="28">
        <v>1</v>
      </c>
      <c r="BC417" s="28">
        <v>0</v>
      </c>
      <c r="BD417" s="29">
        <v>0.99</v>
      </c>
      <c r="BE417" s="30">
        <v>19110</v>
      </c>
    </row>
    <row r="418" spans="26:57">
      <c r="Z418" s="20">
        <v>417</v>
      </c>
      <c r="AA418" s="28">
        <v>1</v>
      </c>
      <c r="AB418" s="28">
        <v>1</v>
      </c>
      <c r="AC418" s="29">
        <v>1</v>
      </c>
      <c r="AD418" s="30">
        <v>11530</v>
      </c>
      <c r="BA418">
        <v>417</v>
      </c>
      <c r="BB418" s="28">
        <v>1</v>
      </c>
      <c r="BC418" s="28">
        <v>0</v>
      </c>
      <c r="BD418" s="29">
        <v>0.99</v>
      </c>
      <c r="BE418" s="30">
        <v>18870</v>
      </c>
    </row>
    <row r="419" spans="26:57">
      <c r="Z419" s="20">
        <v>418</v>
      </c>
      <c r="AA419" s="28">
        <v>1</v>
      </c>
      <c r="AB419" s="28">
        <v>1</v>
      </c>
      <c r="AC419" s="29">
        <v>1</v>
      </c>
      <c r="AD419" s="30">
        <v>13160</v>
      </c>
      <c r="BA419">
        <v>418</v>
      </c>
      <c r="BB419" s="28">
        <v>1</v>
      </c>
      <c r="BC419" s="28">
        <v>1</v>
      </c>
      <c r="BD419" s="29">
        <v>1</v>
      </c>
      <c r="BE419" s="30">
        <v>15410</v>
      </c>
    </row>
    <row r="420" spans="26:57">
      <c r="Z420" s="20">
        <v>419</v>
      </c>
      <c r="AA420" s="28">
        <v>1</v>
      </c>
      <c r="AB420" s="28">
        <v>1</v>
      </c>
      <c r="AC420" s="29">
        <v>1</v>
      </c>
      <c r="AD420" s="30">
        <v>14220</v>
      </c>
      <c r="BA420">
        <v>419</v>
      </c>
      <c r="BB420" s="28">
        <v>1</v>
      </c>
      <c r="BC420" s="28">
        <v>1</v>
      </c>
      <c r="BD420" s="29">
        <v>1</v>
      </c>
      <c r="BE420" s="30">
        <v>18170</v>
      </c>
    </row>
    <row r="421" spans="26:57">
      <c r="Z421" s="20">
        <v>420</v>
      </c>
      <c r="AA421" s="28">
        <v>1</v>
      </c>
      <c r="AB421" s="28">
        <v>1</v>
      </c>
      <c r="AC421" s="29">
        <v>1</v>
      </c>
      <c r="AD421" s="30">
        <v>12680</v>
      </c>
      <c r="BA421">
        <v>420</v>
      </c>
      <c r="BB421" s="28">
        <v>1</v>
      </c>
      <c r="BC421" s="28">
        <v>1</v>
      </c>
      <c r="BD421" s="29">
        <v>1</v>
      </c>
      <c r="BE421" s="30">
        <v>18090</v>
      </c>
    </row>
    <row r="422" spans="26:57">
      <c r="Z422" s="20">
        <v>421</v>
      </c>
      <c r="AA422" s="28">
        <v>1</v>
      </c>
      <c r="AB422" s="28">
        <v>1</v>
      </c>
      <c r="AC422" s="29">
        <v>1</v>
      </c>
      <c r="AD422" s="30">
        <v>13020</v>
      </c>
      <c r="BA422">
        <v>421</v>
      </c>
      <c r="BB422" s="28">
        <v>1</v>
      </c>
      <c r="BC422" s="28">
        <v>1</v>
      </c>
      <c r="BD422" s="29">
        <v>1</v>
      </c>
      <c r="BE422" s="30">
        <v>15880</v>
      </c>
    </row>
    <row r="423" spans="26:57">
      <c r="Z423" s="20">
        <v>422</v>
      </c>
      <c r="AA423" s="28">
        <v>1</v>
      </c>
      <c r="AB423" s="28">
        <v>1</v>
      </c>
      <c r="AC423" s="29">
        <v>1</v>
      </c>
      <c r="AD423" s="30">
        <v>10850</v>
      </c>
      <c r="BA423">
        <v>422</v>
      </c>
      <c r="BB423" s="28">
        <v>1</v>
      </c>
      <c r="BC423" s="28">
        <v>0</v>
      </c>
      <c r="BD423" s="29">
        <v>0.99</v>
      </c>
      <c r="BE423" s="30">
        <v>20950</v>
      </c>
    </row>
    <row r="424" spans="26:57">
      <c r="Z424" s="20">
        <v>423</v>
      </c>
      <c r="AA424" s="28">
        <v>1</v>
      </c>
      <c r="AB424" s="28">
        <v>1</v>
      </c>
      <c r="AC424" s="29">
        <v>1</v>
      </c>
      <c r="AD424" s="30">
        <v>12320</v>
      </c>
      <c r="BA424">
        <v>423</v>
      </c>
      <c r="BB424" s="28">
        <v>1</v>
      </c>
      <c r="BC424" s="28">
        <v>0</v>
      </c>
      <c r="BD424" s="29">
        <v>0.99</v>
      </c>
      <c r="BE424" s="30">
        <v>18110</v>
      </c>
    </row>
    <row r="425" spans="26:57">
      <c r="Z425" s="20">
        <v>424</v>
      </c>
      <c r="AA425" s="28">
        <v>1</v>
      </c>
      <c r="AB425" s="28">
        <v>1</v>
      </c>
      <c r="AC425" s="29">
        <v>1</v>
      </c>
      <c r="AD425" s="30">
        <v>13310</v>
      </c>
      <c r="BA425">
        <v>424</v>
      </c>
      <c r="BB425" s="28">
        <v>1</v>
      </c>
      <c r="BC425" s="28">
        <v>0</v>
      </c>
      <c r="BD425" s="29">
        <v>0.99</v>
      </c>
      <c r="BE425" s="30">
        <v>17220</v>
      </c>
    </row>
    <row r="426" spans="26:57">
      <c r="Z426" s="20">
        <v>425</v>
      </c>
      <c r="AA426" s="28">
        <v>1</v>
      </c>
      <c r="AB426" s="28">
        <v>1</v>
      </c>
      <c r="AC426" s="29">
        <v>1</v>
      </c>
      <c r="AD426" s="30">
        <v>12200</v>
      </c>
      <c r="BA426">
        <v>425</v>
      </c>
      <c r="BB426" s="28">
        <v>1</v>
      </c>
      <c r="BC426" s="28">
        <v>0</v>
      </c>
      <c r="BD426" s="29">
        <v>0.99</v>
      </c>
      <c r="BE426" s="30">
        <v>17520</v>
      </c>
    </row>
    <row r="427" spans="26:57">
      <c r="Z427" s="20">
        <v>426</v>
      </c>
      <c r="AA427" s="28">
        <v>1</v>
      </c>
      <c r="AB427" s="28">
        <v>1</v>
      </c>
      <c r="AC427" s="29">
        <v>1</v>
      </c>
      <c r="AD427" s="30">
        <v>11740</v>
      </c>
      <c r="BA427">
        <v>426</v>
      </c>
      <c r="BB427" s="28">
        <v>1</v>
      </c>
      <c r="BC427" s="28">
        <v>1</v>
      </c>
      <c r="BD427" s="29">
        <v>1</v>
      </c>
      <c r="BE427" s="30">
        <v>16450</v>
      </c>
    </row>
    <row r="428" spans="26:57">
      <c r="Z428" s="20">
        <v>427</v>
      </c>
      <c r="AA428" s="28">
        <v>1</v>
      </c>
      <c r="AB428" s="28">
        <v>1</v>
      </c>
      <c r="AC428" s="29">
        <v>1</v>
      </c>
      <c r="AD428" s="30">
        <v>12650</v>
      </c>
      <c r="BA428">
        <v>427</v>
      </c>
      <c r="BB428" s="28">
        <v>1</v>
      </c>
      <c r="BC428" s="28">
        <v>0</v>
      </c>
      <c r="BD428" s="29">
        <v>0.99</v>
      </c>
      <c r="BE428" s="30">
        <v>18360</v>
      </c>
    </row>
    <row r="429" spans="26:57">
      <c r="Z429" s="20">
        <v>428</v>
      </c>
      <c r="AA429" s="28">
        <v>1</v>
      </c>
      <c r="AB429" s="28">
        <v>1</v>
      </c>
      <c r="AC429" s="29">
        <v>1</v>
      </c>
      <c r="AD429" s="30">
        <v>13700</v>
      </c>
      <c r="BA429">
        <v>428</v>
      </c>
      <c r="BB429" s="28">
        <v>1</v>
      </c>
      <c r="BC429" s="28">
        <v>0</v>
      </c>
      <c r="BD429" s="29">
        <v>0.99</v>
      </c>
      <c r="BE429" s="30">
        <v>18270</v>
      </c>
    </row>
    <row r="430" spans="26:57">
      <c r="Z430" s="20">
        <v>429</v>
      </c>
      <c r="AA430" s="28">
        <v>1</v>
      </c>
      <c r="AB430" s="28">
        <v>1</v>
      </c>
      <c r="AC430" s="29">
        <v>1</v>
      </c>
      <c r="AD430" s="30">
        <v>12610</v>
      </c>
      <c r="BA430">
        <v>429</v>
      </c>
      <c r="BB430" s="28">
        <v>1</v>
      </c>
      <c r="BC430" s="28">
        <v>1</v>
      </c>
      <c r="BD430" s="29">
        <v>1</v>
      </c>
      <c r="BE430" s="30">
        <v>17220</v>
      </c>
    </row>
    <row r="431" spans="26:57">
      <c r="Z431" s="20">
        <v>430</v>
      </c>
      <c r="AA431" s="28">
        <v>1</v>
      </c>
      <c r="AB431" s="28">
        <v>1</v>
      </c>
      <c r="AC431" s="29">
        <v>1</v>
      </c>
      <c r="AD431" s="30">
        <v>13320</v>
      </c>
      <c r="BA431">
        <v>430</v>
      </c>
      <c r="BB431" s="28">
        <v>1</v>
      </c>
      <c r="BC431" s="28">
        <v>1</v>
      </c>
      <c r="BD431" s="29">
        <v>1</v>
      </c>
      <c r="BE431" s="30">
        <v>17790</v>
      </c>
    </row>
    <row r="432" spans="26:57">
      <c r="Z432" s="20">
        <v>431</v>
      </c>
      <c r="AA432" s="28">
        <v>1</v>
      </c>
      <c r="AB432" s="28">
        <v>1</v>
      </c>
      <c r="AC432" s="29">
        <v>1</v>
      </c>
      <c r="AD432" s="30">
        <v>12660</v>
      </c>
      <c r="BA432">
        <v>431</v>
      </c>
      <c r="BB432" s="28">
        <v>1</v>
      </c>
      <c r="BC432" s="28">
        <v>0</v>
      </c>
      <c r="BD432" s="29">
        <v>0.99</v>
      </c>
      <c r="BE432" s="30">
        <v>17640</v>
      </c>
    </row>
    <row r="433" spans="26:57">
      <c r="Z433" s="20">
        <v>432</v>
      </c>
      <c r="AA433" s="28">
        <v>0</v>
      </c>
      <c r="AB433" s="28">
        <v>0</v>
      </c>
      <c r="AC433" s="29">
        <v>1</v>
      </c>
      <c r="AD433" s="30">
        <v>13900</v>
      </c>
      <c r="BA433">
        <v>432</v>
      </c>
      <c r="BB433" s="28">
        <v>1</v>
      </c>
      <c r="BC433" s="28">
        <v>0</v>
      </c>
      <c r="BD433" s="29">
        <v>0.99</v>
      </c>
      <c r="BE433" s="30">
        <v>15850</v>
      </c>
    </row>
    <row r="434" spans="26:57">
      <c r="Z434" s="20">
        <v>433</v>
      </c>
      <c r="AA434" s="28">
        <v>1</v>
      </c>
      <c r="AB434" s="28">
        <v>1</v>
      </c>
      <c r="AC434" s="29">
        <v>1</v>
      </c>
      <c r="AD434" s="30">
        <v>11340</v>
      </c>
      <c r="BA434">
        <v>433</v>
      </c>
      <c r="BB434" s="28">
        <v>1</v>
      </c>
      <c r="BC434" s="28">
        <v>0</v>
      </c>
      <c r="BD434" s="29">
        <v>0.99</v>
      </c>
      <c r="BE434" s="30">
        <v>16040</v>
      </c>
    </row>
    <row r="435" spans="26:57">
      <c r="Z435" s="20">
        <v>434</v>
      </c>
      <c r="AA435" s="28">
        <v>1</v>
      </c>
      <c r="AB435" s="28">
        <v>1</v>
      </c>
      <c r="AC435" s="29">
        <v>1</v>
      </c>
      <c r="AD435" s="30">
        <v>12630</v>
      </c>
      <c r="BA435">
        <v>434</v>
      </c>
      <c r="BB435" s="28">
        <v>1</v>
      </c>
      <c r="BC435" s="28">
        <v>1</v>
      </c>
      <c r="BD435" s="29">
        <v>1</v>
      </c>
      <c r="BE435" s="30">
        <v>18500</v>
      </c>
    </row>
    <row r="436" spans="26:57">
      <c r="Z436" s="20">
        <v>435</v>
      </c>
      <c r="AA436" s="28">
        <v>1</v>
      </c>
      <c r="AB436" s="28">
        <v>1</v>
      </c>
      <c r="AC436" s="29">
        <v>1</v>
      </c>
      <c r="AD436" s="30">
        <v>14160</v>
      </c>
      <c r="BA436">
        <v>435</v>
      </c>
      <c r="BB436" s="28">
        <v>1</v>
      </c>
      <c r="BC436" s="28">
        <v>0</v>
      </c>
      <c r="BD436" s="29">
        <v>0.98</v>
      </c>
      <c r="BE436" s="30">
        <v>18980</v>
      </c>
    </row>
    <row r="437" spans="26:57">
      <c r="Z437" s="20">
        <v>436</v>
      </c>
      <c r="AA437" s="28">
        <v>1</v>
      </c>
      <c r="AB437" s="28">
        <v>1</v>
      </c>
      <c r="AC437" s="29">
        <v>1</v>
      </c>
      <c r="AD437" s="30">
        <v>13110</v>
      </c>
      <c r="BA437">
        <v>436</v>
      </c>
      <c r="BB437" s="28">
        <v>1</v>
      </c>
      <c r="BC437" s="28">
        <v>0</v>
      </c>
      <c r="BD437" s="29">
        <v>0.98</v>
      </c>
      <c r="BE437" s="30">
        <v>18070</v>
      </c>
    </row>
    <row r="438" spans="26:57">
      <c r="Z438" s="20">
        <v>437</v>
      </c>
      <c r="AA438" s="28">
        <v>1</v>
      </c>
      <c r="AB438" s="28">
        <v>1</v>
      </c>
      <c r="AC438" s="29">
        <v>1</v>
      </c>
      <c r="AD438" s="30">
        <v>12580</v>
      </c>
      <c r="BA438">
        <v>437</v>
      </c>
      <c r="BB438" s="28">
        <v>1</v>
      </c>
      <c r="BC438" s="28">
        <v>1</v>
      </c>
      <c r="BD438" s="29">
        <v>1</v>
      </c>
      <c r="BE438" s="30">
        <v>15780</v>
      </c>
    </row>
    <row r="439" spans="26:57">
      <c r="Z439" s="20">
        <v>438</v>
      </c>
      <c r="AA439" s="28">
        <v>1</v>
      </c>
      <c r="AB439" s="28">
        <v>1</v>
      </c>
      <c r="AC439" s="29">
        <v>1</v>
      </c>
      <c r="AD439" s="30">
        <v>13940</v>
      </c>
      <c r="BA439">
        <v>438</v>
      </c>
      <c r="BB439" s="28">
        <v>1</v>
      </c>
      <c r="BC439" s="28">
        <v>0</v>
      </c>
      <c r="BD439" s="29">
        <v>0.99</v>
      </c>
      <c r="BE439" s="30">
        <v>18970</v>
      </c>
    </row>
    <row r="440" spans="26:57">
      <c r="Z440" s="20">
        <v>439</v>
      </c>
      <c r="AA440" s="28">
        <v>1</v>
      </c>
      <c r="AB440" s="28">
        <v>1</v>
      </c>
      <c r="AC440" s="29">
        <v>1</v>
      </c>
      <c r="AD440" s="30">
        <v>13740</v>
      </c>
      <c r="BA440">
        <v>439</v>
      </c>
      <c r="BB440" s="28">
        <v>1</v>
      </c>
      <c r="BC440" s="28">
        <v>1</v>
      </c>
      <c r="BD440" s="29">
        <v>1</v>
      </c>
      <c r="BE440" s="30">
        <v>15840</v>
      </c>
    </row>
    <row r="441" spans="26:57">
      <c r="Z441" s="20">
        <v>440</v>
      </c>
      <c r="AA441" s="28">
        <v>1</v>
      </c>
      <c r="AB441" s="28">
        <v>1</v>
      </c>
      <c r="AC441" s="29">
        <v>1</v>
      </c>
      <c r="AD441" s="30">
        <v>12470</v>
      </c>
      <c r="BA441">
        <v>440</v>
      </c>
      <c r="BB441" s="28">
        <v>1</v>
      </c>
      <c r="BC441" s="28">
        <v>1</v>
      </c>
      <c r="BD441" s="29">
        <v>1</v>
      </c>
      <c r="BE441" s="30">
        <v>20210</v>
      </c>
    </row>
    <row r="442" spans="26:57">
      <c r="Z442" s="20">
        <v>441</v>
      </c>
      <c r="AA442" s="28">
        <v>1</v>
      </c>
      <c r="AB442" s="28">
        <v>1</v>
      </c>
      <c r="AC442" s="29">
        <v>1</v>
      </c>
      <c r="AD442" s="30">
        <v>12700</v>
      </c>
      <c r="BA442">
        <v>441</v>
      </c>
      <c r="BB442" s="28">
        <v>1</v>
      </c>
      <c r="BC442" s="28">
        <v>1</v>
      </c>
      <c r="BD442" s="29">
        <v>1</v>
      </c>
      <c r="BE442" s="30">
        <v>19680</v>
      </c>
    </row>
    <row r="443" spans="26:57">
      <c r="Z443" s="20">
        <v>442</v>
      </c>
      <c r="AA443" s="28">
        <v>1</v>
      </c>
      <c r="AB443" s="28">
        <v>1</v>
      </c>
      <c r="AC443" s="29">
        <v>1</v>
      </c>
      <c r="AD443" s="30">
        <v>13050</v>
      </c>
      <c r="BA443">
        <v>442</v>
      </c>
      <c r="BB443" s="28">
        <v>1</v>
      </c>
      <c r="BC443" s="28">
        <v>0</v>
      </c>
      <c r="BD443" s="29">
        <v>0.99</v>
      </c>
      <c r="BE443" s="30">
        <v>18130</v>
      </c>
    </row>
    <row r="444" spans="26:57">
      <c r="Z444" s="20">
        <v>443</v>
      </c>
      <c r="AA444" s="28">
        <v>1</v>
      </c>
      <c r="AB444" s="28">
        <v>1</v>
      </c>
      <c r="AC444" s="29">
        <v>1</v>
      </c>
      <c r="AD444" s="30">
        <v>12170</v>
      </c>
      <c r="BA444">
        <v>443</v>
      </c>
      <c r="BB444" s="28">
        <v>1</v>
      </c>
      <c r="BC444" s="28">
        <v>1</v>
      </c>
      <c r="BD444" s="29">
        <v>1</v>
      </c>
      <c r="BE444" s="30">
        <v>18330</v>
      </c>
    </row>
    <row r="445" spans="26:57">
      <c r="Z445" s="20">
        <v>444</v>
      </c>
      <c r="AA445" s="28">
        <v>1</v>
      </c>
      <c r="AB445" s="28">
        <v>1</v>
      </c>
      <c r="AC445" s="29">
        <v>1</v>
      </c>
      <c r="AD445" s="30">
        <v>12990</v>
      </c>
      <c r="BA445">
        <v>444</v>
      </c>
      <c r="BB445" s="28">
        <v>1</v>
      </c>
      <c r="BC445" s="28">
        <v>0</v>
      </c>
      <c r="BD445" s="29">
        <v>0.99</v>
      </c>
      <c r="BE445" s="30">
        <v>18430</v>
      </c>
    </row>
    <row r="446" spans="26:57">
      <c r="Z446" s="20">
        <v>445</v>
      </c>
      <c r="AA446" s="28">
        <v>1</v>
      </c>
      <c r="AB446" s="28">
        <v>1</v>
      </c>
      <c r="AC446" s="29">
        <v>1</v>
      </c>
      <c r="AD446" s="30">
        <v>13400</v>
      </c>
      <c r="BA446">
        <v>445</v>
      </c>
      <c r="BB446" s="28">
        <v>1</v>
      </c>
      <c r="BC446" s="28">
        <v>1</v>
      </c>
      <c r="BD446" s="29">
        <v>1</v>
      </c>
      <c r="BE446" s="30">
        <v>18090</v>
      </c>
    </row>
    <row r="447" spans="26:57">
      <c r="Z447" s="20">
        <v>446</v>
      </c>
      <c r="AA447" s="28">
        <v>1</v>
      </c>
      <c r="AB447" s="28">
        <v>1</v>
      </c>
      <c r="AC447" s="29">
        <v>1</v>
      </c>
      <c r="AD447" s="30">
        <v>12710</v>
      </c>
      <c r="BA447">
        <v>446</v>
      </c>
      <c r="BB447" s="28">
        <v>1</v>
      </c>
      <c r="BC447" s="28">
        <v>1</v>
      </c>
      <c r="BD447" s="29">
        <v>1</v>
      </c>
      <c r="BE447" s="30">
        <v>18030</v>
      </c>
    </row>
    <row r="448" spans="26:57">
      <c r="Z448" s="20">
        <v>447</v>
      </c>
      <c r="AA448" s="28">
        <v>1</v>
      </c>
      <c r="AB448" s="28">
        <v>1</v>
      </c>
      <c r="AC448" s="29">
        <v>1</v>
      </c>
      <c r="AD448" s="30">
        <v>12380</v>
      </c>
      <c r="BA448">
        <v>447</v>
      </c>
      <c r="BB448" s="28">
        <v>1</v>
      </c>
      <c r="BC448" s="28">
        <v>0</v>
      </c>
      <c r="BD448" s="29">
        <v>0.99</v>
      </c>
      <c r="BE448" s="30">
        <v>16580</v>
      </c>
    </row>
    <row r="449" spans="26:57">
      <c r="Z449" s="20">
        <v>448</v>
      </c>
      <c r="AA449" s="28">
        <v>1</v>
      </c>
      <c r="AB449" s="28">
        <v>1</v>
      </c>
      <c r="AC449" s="29">
        <v>1</v>
      </c>
      <c r="AD449" s="30">
        <v>12640</v>
      </c>
      <c r="BA449">
        <v>448</v>
      </c>
      <c r="BB449" s="28">
        <v>1</v>
      </c>
      <c r="BC449" s="28">
        <v>1</v>
      </c>
      <c r="BD449" s="29">
        <v>1</v>
      </c>
      <c r="BE449" s="30">
        <v>16800</v>
      </c>
    </row>
    <row r="450" spans="26:57">
      <c r="Z450" s="20">
        <v>449</v>
      </c>
      <c r="AA450" s="28">
        <v>1</v>
      </c>
      <c r="AB450" s="28">
        <v>1</v>
      </c>
      <c r="AC450" s="29">
        <v>1</v>
      </c>
      <c r="AD450" s="30">
        <v>12490</v>
      </c>
      <c r="BA450">
        <v>449</v>
      </c>
      <c r="BB450" s="28">
        <v>1</v>
      </c>
      <c r="BC450" s="28">
        <v>0</v>
      </c>
      <c r="BD450" s="29">
        <v>0.99</v>
      </c>
      <c r="BE450" s="30">
        <v>19420</v>
      </c>
    </row>
    <row r="451" spans="26:57">
      <c r="Z451" s="20">
        <v>450</v>
      </c>
      <c r="AA451" s="28">
        <v>1</v>
      </c>
      <c r="AB451" s="28">
        <v>1</v>
      </c>
      <c r="AC451" s="29">
        <v>1</v>
      </c>
      <c r="AD451" s="30">
        <v>11080</v>
      </c>
      <c r="BA451">
        <v>450</v>
      </c>
      <c r="BB451" s="28">
        <v>1</v>
      </c>
      <c r="BC451" s="28">
        <v>0</v>
      </c>
      <c r="BD451" s="29">
        <v>0.99</v>
      </c>
      <c r="BE451" s="30">
        <v>17240</v>
      </c>
    </row>
    <row r="452" spans="26:57">
      <c r="Z452" s="20">
        <v>451</v>
      </c>
      <c r="AA452" s="28">
        <v>1</v>
      </c>
      <c r="AB452" s="28">
        <v>1</v>
      </c>
      <c r="AC452" s="29">
        <v>1</v>
      </c>
      <c r="AD452" s="30">
        <v>12640</v>
      </c>
      <c r="BA452">
        <v>451</v>
      </c>
      <c r="BB452" s="28">
        <v>1</v>
      </c>
      <c r="BC452" s="28">
        <v>0</v>
      </c>
      <c r="BD452" s="29">
        <v>0.97</v>
      </c>
      <c r="BE452" s="30">
        <v>16820</v>
      </c>
    </row>
    <row r="453" spans="26:57">
      <c r="Z453" s="20">
        <v>452</v>
      </c>
      <c r="AA453" s="28">
        <v>1</v>
      </c>
      <c r="AB453" s="28">
        <v>1</v>
      </c>
      <c r="AC453" s="29">
        <v>1</v>
      </c>
      <c r="AD453" s="30">
        <v>12570</v>
      </c>
      <c r="BA453">
        <v>452</v>
      </c>
      <c r="BB453" s="28">
        <v>1</v>
      </c>
      <c r="BC453" s="28">
        <v>0</v>
      </c>
      <c r="BD453" s="29">
        <v>0.99</v>
      </c>
      <c r="BE453" s="30">
        <v>18630</v>
      </c>
    </row>
    <row r="454" spans="26:57">
      <c r="Z454" s="20">
        <v>453</v>
      </c>
      <c r="AA454" s="28">
        <v>1</v>
      </c>
      <c r="AB454" s="28">
        <v>1</v>
      </c>
      <c r="AC454" s="29">
        <v>1</v>
      </c>
      <c r="AD454" s="30">
        <v>12400</v>
      </c>
      <c r="BA454">
        <v>453</v>
      </c>
      <c r="BB454" s="28">
        <v>1</v>
      </c>
      <c r="BC454" s="28">
        <v>0</v>
      </c>
      <c r="BD454" s="29">
        <v>0.99</v>
      </c>
      <c r="BE454" s="30">
        <v>18240</v>
      </c>
    </row>
    <row r="455" spans="26:57">
      <c r="Z455" s="20">
        <v>454</v>
      </c>
      <c r="AA455" s="28">
        <v>1</v>
      </c>
      <c r="AB455" s="28">
        <v>1</v>
      </c>
      <c r="AC455" s="29">
        <v>1</v>
      </c>
      <c r="AD455" s="30">
        <v>12400</v>
      </c>
      <c r="BA455">
        <v>454</v>
      </c>
      <c r="BB455" s="28">
        <v>1</v>
      </c>
      <c r="BC455" s="28">
        <v>0</v>
      </c>
      <c r="BD455" s="29">
        <v>0.98</v>
      </c>
      <c r="BE455" s="30">
        <v>16360</v>
      </c>
    </row>
    <row r="456" spans="26:57">
      <c r="Z456" s="20">
        <v>455</v>
      </c>
      <c r="AA456" s="28">
        <v>1</v>
      </c>
      <c r="AB456" s="28">
        <v>1</v>
      </c>
      <c r="AC456" s="29">
        <v>1</v>
      </c>
      <c r="AD456" s="30">
        <v>12350</v>
      </c>
      <c r="BA456">
        <v>455</v>
      </c>
      <c r="BB456" s="28">
        <v>1</v>
      </c>
      <c r="BC456" s="28">
        <v>1</v>
      </c>
      <c r="BD456" s="29">
        <v>1</v>
      </c>
      <c r="BE456" s="30">
        <v>18160</v>
      </c>
    </row>
    <row r="457" spans="26:57">
      <c r="Z457" s="20">
        <v>456</v>
      </c>
      <c r="AA457" s="28">
        <v>1</v>
      </c>
      <c r="AB457" s="28">
        <v>1</v>
      </c>
      <c r="AC457" s="29">
        <v>1</v>
      </c>
      <c r="AD457" s="30">
        <v>10850</v>
      </c>
      <c r="BA457">
        <v>456</v>
      </c>
      <c r="BB457" s="28">
        <v>1</v>
      </c>
      <c r="BC457" s="28">
        <v>0</v>
      </c>
      <c r="BD457" s="29">
        <v>0.98</v>
      </c>
      <c r="BE457" s="30">
        <v>18720</v>
      </c>
    </row>
    <row r="458" spans="26:57">
      <c r="Z458" s="20">
        <v>457</v>
      </c>
      <c r="AA458" s="28">
        <v>1</v>
      </c>
      <c r="AB458" s="28">
        <v>1</v>
      </c>
      <c r="AC458" s="29">
        <v>1</v>
      </c>
      <c r="AD458" s="30">
        <v>12530</v>
      </c>
      <c r="BA458">
        <v>457</v>
      </c>
      <c r="BB458" s="28">
        <v>1</v>
      </c>
      <c r="BC458" s="28">
        <v>1</v>
      </c>
      <c r="BD458" s="29">
        <v>1</v>
      </c>
      <c r="BE458" s="30">
        <v>17290</v>
      </c>
    </row>
    <row r="459" spans="26:57">
      <c r="Z459" s="20">
        <v>458</v>
      </c>
      <c r="AA459" s="28">
        <v>1</v>
      </c>
      <c r="AB459" s="28">
        <v>1</v>
      </c>
      <c r="AC459" s="29">
        <v>1</v>
      </c>
      <c r="AD459" s="30">
        <v>12790</v>
      </c>
      <c r="BA459">
        <v>458</v>
      </c>
      <c r="BB459" s="28">
        <v>1</v>
      </c>
      <c r="BC459" s="28">
        <v>1</v>
      </c>
      <c r="BD459" s="29">
        <v>1</v>
      </c>
      <c r="BE459" s="30">
        <v>16350</v>
      </c>
    </row>
    <row r="460" spans="26:57">
      <c r="Z460" s="20">
        <v>459</v>
      </c>
      <c r="AA460" s="28">
        <v>1</v>
      </c>
      <c r="AB460" s="28">
        <v>1</v>
      </c>
      <c r="AC460" s="29">
        <v>1</v>
      </c>
      <c r="AD460" s="30">
        <v>10570</v>
      </c>
      <c r="BA460">
        <v>459</v>
      </c>
      <c r="BB460" s="28">
        <v>1</v>
      </c>
      <c r="BC460" s="28">
        <v>1</v>
      </c>
      <c r="BD460" s="29">
        <v>1</v>
      </c>
      <c r="BE460" s="30">
        <v>15780</v>
      </c>
    </row>
    <row r="461" spans="26:57">
      <c r="Z461" s="20">
        <v>460</v>
      </c>
      <c r="AA461" s="28">
        <v>1</v>
      </c>
      <c r="AB461" s="28">
        <v>1</v>
      </c>
      <c r="AC461" s="29">
        <v>1</v>
      </c>
      <c r="AD461" s="30">
        <v>11500</v>
      </c>
      <c r="BA461">
        <v>460</v>
      </c>
      <c r="BB461" s="28">
        <v>1</v>
      </c>
      <c r="BC461" s="28">
        <v>0</v>
      </c>
      <c r="BD461" s="29">
        <v>0.99</v>
      </c>
      <c r="BE461" s="30">
        <v>15950</v>
      </c>
    </row>
    <row r="462" spans="26:57">
      <c r="Z462" s="20">
        <v>461</v>
      </c>
      <c r="AA462" s="28">
        <v>1</v>
      </c>
      <c r="AB462" s="28">
        <v>1</v>
      </c>
      <c r="AC462" s="29">
        <v>1</v>
      </c>
      <c r="AD462" s="30">
        <v>12400</v>
      </c>
      <c r="BA462">
        <v>461</v>
      </c>
      <c r="BB462" s="28">
        <v>1</v>
      </c>
      <c r="BC462" s="28">
        <v>1</v>
      </c>
      <c r="BD462" s="29">
        <v>1</v>
      </c>
      <c r="BE462" s="30">
        <v>17650</v>
      </c>
    </row>
    <row r="463" spans="26:57">
      <c r="Z463" s="20">
        <v>462</v>
      </c>
      <c r="AA463" s="28">
        <v>1</v>
      </c>
      <c r="AB463" s="28">
        <v>1</v>
      </c>
      <c r="AC463" s="29">
        <v>1</v>
      </c>
      <c r="AD463" s="30">
        <v>12390</v>
      </c>
      <c r="BA463">
        <v>462</v>
      </c>
      <c r="BB463" s="28">
        <v>1</v>
      </c>
      <c r="BC463" s="28">
        <v>1</v>
      </c>
      <c r="BD463" s="29">
        <v>1</v>
      </c>
      <c r="BE463" s="30">
        <v>17250</v>
      </c>
    </row>
    <row r="464" spans="26:57">
      <c r="Z464" s="20">
        <v>463</v>
      </c>
      <c r="AA464" s="28">
        <v>1</v>
      </c>
      <c r="AB464" s="28">
        <v>1</v>
      </c>
      <c r="AC464" s="29">
        <v>1</v>
      </c>
      <c r="AD464" s="30">
        <v>12440</v>
      </c>
      <c r="BA464">
        <v>463</v>
      </c>
      <c r="BB464" s="28">
        <v>1</v>
      </c>
      <c r="BC464" s="28">
        <v>0</v>
      </c>
      <c r="BD464" s="29">
        <v>0.99</v>
      </c>
      <c r="BE464" s="30">
        <v>17300</v>
      </c>
    </row>
    <row r="465" spans="26:57">
      <c r="Z465" s="20">
        <v>464</v>
      </c>
      <c r="AA465" s="28">
        <v>1</v>
      </c>
      <c r="AB465" s="28">
        <v>1</v>
      </c>
      <c r="AC465" s="29">
        <v>1</v>
      </c>
      <c r="AD465" s="30">
        <v>11920</v>
      </c>
      <c r="BA465">
        <v>464</v>
      </c>
      <c r="BB465" s="28">
        <v>1</v>
      </c>
      <c r="BC465" s="28">
        <v>0</v>
      </c>
      <c r="BD465" s="29">
        <v>0.99</v>
      </c>
      <c r="BE465" s="30">
        <v>17960</v>
      </c>
    </row>
    <row r="466" spans="26:57">
      <c r="Z466" s="20">
        <v>465</v>
      </c>
      <c r="AA466" s="28">
        <v>1</v>
      </c>
      <c r="AB466" s="28">
        <v>1</v>
      </c>
      <c r="AC466" s="29">
        <v>1</v>
      </c>
      <c r="AD466" s="30">
        <v>13960</v>
      </c>
      <c r="BA466">
        <v>465</v>
      </c>
      <c r="BB466" s="28">
        <v>1</v>
      </c>
      <c r="BC466" s="28">
        <v>0</v>
      </c>
      <c r="BD466" s="29">
        <v>0.96</v>
      </c>
      <c r="BE466" s="30">
        <v>19120</v>
      </c>
    </row>
    <row r="467" spans="26:57">
      <c r="Z467" s="20">
        <v>466</v>
      </c>
      <c r="AA467" s="28">
        <v>1</v>
      </c>
      <c r="AB467" s="28">
        <v>1</v>
      </c>
      <c r="AC467" s="29">
        <v>1</v>
      </c>
      <c r="AD467" s="30">
        <v>13120</v>
      </c>
      <c r="BA467">
        <v>466</v>
      </c>
      <c r="BB467" s="28">
        <v>1</v>
      </c>
      <c r="BC467" s="28">
        <v>0</v>
      </c>
      <c r="BD467" s="29">
        <v>0.98</v>
      </c>
      <c r="BE467" s="30">
        <v>19100</v>
      </c>
    </row>
    <row r="468" spans="26:57">
      <c r="Z468" s="20">
        <v>467</v>
      </c>
      <c r="AA468" s="28">
        <v>1</v>
      </c>
      <c r="AB468" s="28">
        <v>1</v>
      </c>
      <c r="AC468" s="29">
        <v>1</v>
      </c>
      <c r="AD468" s="30">
        <v>12200</v>
      </c>
      <c r="BA468">
        <v>467</v>
      </c>
      <c r="BB468" s="28">
        <v>1</v>
      </c>
      <c r="BC468" s="28">
        <v>0</v>
      </c>
      <c r="BD468" s="29">
        <v>0.99</v>
      </c>
      <c r="BE468" s="30">
        <v>17100</v>
      </c>
    </row>
    <row r="469" spans="26:57">
      <c r="Z469" s="20">
        <v>468</v>
      </c>
      <c r="AA469" s="28">
        <v>1</v>
      </c>
      <c r="AB469" s="28">
        <v>1</v>
      </c>
      <c r="AC469" s="29">
        <v>1</v>
      </c>
      <c r="AD469" s="30">
        <v>13600</v>
      </c>
      <c r="BA469">
        <v>468</v>
      </c>
      <c r="BB469" s="28">
        <v>1</v>
      </c>
      <c r="BC469" s="28">
        <v>1</v>
      </c>
      <c r="BD469" s="29">
        <v>1</v>
      </c>
      <c r="BE469" s="30">
        <v>20680</v>
      </c>
    </row>
    <row r="470" spans="26:57">
      <c r="Z470" s="20">
        <v>469</v>
      </c>
      <c r="AA470" s="28">
        <v>1</v>
      </c>
      <c r="AB470" s="28">
        <v>1</v>
      </c>
      <c r="AC470" s="29">
        <v>1</v>
      </c>
      <c r="AD470" s="30">
        <v>14130</v>
      </c>
      <c r="BA470">
        <v>469</v>
      </c>
      <c r="BB470" s="28">
        <v>1</v>
      </c>
      <c r="BC470" s="28">
        <v>1</v>
      </c>
      <c r="BD470" s="29">
        <v>1</v>
      </c>
      <c r="BE470" s="30">
        <v>16600</v>
      </c>
    </row>
    <row r="471" spans="26:57">
      <c r="Z471" s="20">
        <v>470</v>
      </c>
      <c r="AA471" s="28">
        <v>1</v>
      </c>
      <c r="AB471" s="28">
        <v>1</v>
      </c>
      <c r="AC471" s="29">
        <v>1</v>
      </c>
      <c r="AD471" s="30">
        <v>12390</v>
      </c>
      <c r="BA471">
        <v>470</v>
      </c>
      <c r="BB471" s="28">
        <v>1</v>
      </c>
      <c r="BC471" s="28">
        <v>0</v>
      </c>
      <c r="BD471" s="29">
        <v>0.99</v>
      </c>
      <c r="BE471" s="30">
        <v>19320</v>
      </c>
    </row>
    <row r="472" spans="26:57">
      <c r="Z472" s="20">
        <v>471</v>
      </c>
      <c r="AA472" s="28">
        <v>1</v>
      </c>
      <c r="AB472" s="28">
        <v>1</v>
      </c>
      <c r="AC472" s="29">
        <v>1</v>
      </c>
      <c r="AD472" s="30">
        <v>11530</v>
      </c>
      <c r="BA472">
        <v>471</v>
      </c>
      <c r="BB472" s="28">
        <v>1</v>
      </c>
      <c r="BC472" s="28">
        <v>0</v>
      </c>
      <c r="BD472" s="29">
        <v>0.99</v>
      </c>
      <c r="BE472" s="30">
        <v>16130</v>
      </c>
    </row>
    <row r="473" spans="26:57">
      <c r="Z473" s="20">
        <v>472</v>
      </c>
      <c r="AA473" s="28">
        <v>1</v>
      </c>
      <c r="AB473" s="28">
        <v>1</v>
      </c>
      <c r="AC473" s="29">
        <v>1</v>
      </c>
      <c r="AD473" s="30">
        <v>11620</v>
      </c>
      <c r="BA473">
        <v>472</v>
      </c>
      <c r="BB473" s="28">
        <v>1</v>
      </c>
      <c r="BC473" s="28">
        <v>0</v>
      </c>
      <c r="BD473" s="29">
        <v>0.99</v>
      </c>
      <c r="BE473" s="30">
        <v>16110</v>
      </c>
    </row>
    <row r="474" spans="26:57">
      <c r="Z474" s="20">
        <v>473</v>
      </c>
      <c r="AA474" s="28">
        <v>1</v>
      </c>
      <c r="AB474" s="28">
        <v>1</v>
      </c>
      <c r="AC474" s="29">
        <v>1</v>
      </c>
      <c r="AD474" s="30">
        <v>11990</v>
      </c>
      <c r="BA474">
        <v>473</v>
      </c>
      <c r="BB474" s="28">
        <v>1</v>
      </c>
      <c r="BC474" s="28">
        <v>1</v>
      </c>
      <c r="BD474" s="29">
        <v>1</v>
      </c>
      <c r="BE474" s="30">
        <v>16580</v>
      </c>
    </row>
    <row r="475" spans="26:57">
      <c r="Z475" s="20">
        <v>474</v>
      </c>
      <c r="AA475" s="28">
        <v>1</v>
      </c>
      <c r="AB475" s="28">
        <v>1</v>
      </c>
      <c r="AC475" s="29">
        <v>1</v>
      </c>
      <c r="AD475" s="30">
        <v>12680</v>
      </c>
      <c r="BA475">
        <v>474</v>
      </c>
      <c r="BB475" s="28">
        <v>1</v>
      </c>
      <c r="BC475" s="28">
        <v>1</v>
      </c>
      <c r="BD475" s="29">
        <v>1</v>
      </c>
      <c r="BE475" s="30">
        <v>17070</v>
      </c>
    </row>
    <row r="476" spans="26:57">
      <c r="Z476" s="20">
        <v>475</v>
      </c>
      <c r="AA476" s="28">
        <v>1</v>
      </c>
      <c r="AB476" s="28">
        <v>1</v>
      </c>
      <c r="AC476" s="29">
        <v>1</v>
      </c>
      <c r="AD476" s="30">
        <v>13740</v>
      </c>
      <c r="BA476">
        <v>475</v>
      </c>
      <c r="BB476" s="28">
        <v>1</v>
      </c>
      <c r="BC476" s="28">
        <v>0</v>
      </c>
      <c r="BD476" s="29">
        <v>0.98</v>
      </c>
      <c r="BE476" s="30">
        <v>16780</v>
      </c>
    </row>
    <row r="477" spans="26:57">
      <c r="Z477" s="20">
        <v>476</v>
      </c>
      <c r="AA477" s="28">
        <v>1</v>
      </c>
      <c r="AB477" s="28">
        <v>1</v>
      </c>
      <c r="AC477" s="29">
        <v>1</v>
      </c>
      <c r="AD477" s="30">
        <v>11260</v>
      </c>
      <c r="BA477">
        <v>476</v>
      </c>
      <c r="BB477" s="28">
        <v>1</v>
      </c>
      <c r="BC477" s="28">
        <v>0</v>
      </c>
      <c r="BD477" s="29">
        <v>0.99</v>
      </c>
      <c r="BE477" s="30">
        <v>18500</v>
      </c>
    </row>
    <row r="478" spans="26:57">
      <c r="Z478" s="20">
        <v>477</v>
      </c>
      <c r="AA478" s="28">
        <v>1</v>
      </c>
      <c r="AB478" s="28">
        <v>1</v>
      </c>
      <c r="AC478" s="29">
        <v>1</v>
      </c>
      <c r="AD478" s="30">
        <v>12880</v>
      </c>
      <c r="BA478">
        <v>477</v>
      </c>
      <c r="BB478" s="28">
        <v>1</v>
      </c>
      <c r="BC478" s="28">
        <v>1</v>
      </c>
      <c r="BD478" s="29">
        <v>1</v>
      </c>
      <c r="BE478" s="30">
        <v>16790</v>
      </c>
    </row>
    <row r="479" spans="26:57">
      <c r="Z479" s="20">
        <v>478</v>
      </c>
      <c r="AA479" s="28">
        <v>1</v>
      </c>
      <c r="AB479" s="28">
        <v>1</v>
      </c>
      <c r="AC479" s="29">
        <v>1</v>
      </c>
      <c r="AD479" s="30">
        <v>11980</v>
      </c>
      <c r="BA479">
        <v>478</v>
      </c>
      <c r="BB479" s="28">
        <v>1</v>
      </c>
      <c r="BC479" s="28">
        <v>1</v>
      </c>
      <c r="BD479" s="29">
        <v>1</v>
      </c>
      <c r="BE479" s="30">
        <v>15570</v>
      </c>
    </row>
    <row r="480" spans="26:57">
      <c r="Z480" s="20">
        <v>479</v>
      </c>
      <c r="AA480" s="28">
        <v>1</v>
      </c>
      <c r="AB480" s="28">
        <v>1</v>
      </c>
      <c r="AC480" s="29">
        <v>1</v>
      </c>
      <c r="AD480" s="30">
        <v>10600</v>
      </c>
      <c r="BA480">
        <v>479</v>
      </c>
      <c r="BB480" s="28">
        <v>1</v>
      </c>
      <c r="BC480" s="28">
        <v>0</v>
      </c>
      <c r="BD480" s="29">
        <v>0.97</v>
      </c>
      <c r="BE480" s="30">
        <v>22150</v>
      </c>
    </row>
    <row r="481" spans="26:57">
      <c r="Z481" s="20">
        <v>480</v>
      </c>
      <c r="AA481" s="28">
        <v>1</v>
      </c>
      <c r="AB481" s="28">
        <v>1</v>
      </c>
      <c r="AC481" s="29">
        <v>1</v>
      </c>
      <c r="AD481" s="30">
        <v>13180</v>
      </c>
      <c r="BA481">
        <v>480</v>
      </c>
      <c r="BB481" s="28">
        <v>1</v>
      </c>
      <c r="BC481" s="28">
        <v>1</v>
      </c>
      <c r="BD481" s="29">
        <v>1</v>
      </c>
      <c r="BE481" s="30">
        <v>17420</v>
      </c>
    </row>
    <row r="482" spans="26:57">
      <c r="Z482" s="20">
        <v>481</v>
      </c>
      <c r="AA482" s="28">
        <v>1</v>
      </c>
      <c r="AB482" s="28">
        <v>1</v>
      </c>
      <c r="AC482" s="29">
        <v>1</v>
      </c>
      <c r="AD482" s="30">
        <v>13600</v>
      </c>
      <c r="BA482">
        <v>481</v>
      </c>
      <c r="BB482" s="28">
        <v>1</v>
      </c>
      <c r="BC482" s="28">
        <v>1</v>
      </c>
      <c r="BD482" s="29">
        <v>1</v>
      </c>
      <c r="BE482" s="30">
        <v>14160</v>
      </c>
    </row>
    <row r="483" spans="26:57">
      <c r="Z483" s="20">
        <v>482</v>
      </c>
      <c r="AA483" s="28">
        <v>1</v>
      </c>
      <c r="AB483" s="28">
        <v>1</v>
      </c>
      <c r="AC483" s="29">
        <v>1</v>
      </c>
      <c r="AD483" s="30">
        <v>10250</v>
      </c>
      <c r="BA483">
        <v>482</v>
      </c>
      <c r="BB483" s="28">
        <v>1</v>
      </c>
      <c r="BC483" s="28">
        <v>1</v>
      </c>
      <c r="BD483" s="29">
        <v>1</v>
      </c>
      <c r="BE483" s="30">
        <v>17020</v>
      </c>
    </row>
    <row r="484" spans="26:57">
      <c r="Z484" s="20">
        <v>483</v>
      </c>
      <c r="AA484" s="28">
        <v>1</v>
      </c>
      <c r="AB484" s="28">
        <v>1</v>
      </c>
      <c r="AC484" s="29">
        <v>1</v>
      </c>
      <c r="AD484" s="30">
        <v>13220</v>
      </c>
      <c r="BA484">
        <v>483</v>
      </c>
      <c r="BB484" s="28">
        <v>1</v>
      </c>
      <c r="BC484" s="28">
        <v>1</v>
      </c>
      <c r="BD484" s="29">
        <v>1</v>
      </c>
      <c r="BE484" s="30">
        <v>19110</v>
      </c>
    </row>
    <row r="485" spans="26:57">
      <c r="Z485" s="20">
        <v>484</v>
      </c>
      <c r="AA485" s="28">
        <v>1</v>
      </c>
      <c r="AB485" s="28">
        <v>1</v>
      </c>
      <c r="AC485" s="29">
        <v>1</v>
      </c>
      <c r="AD485" s="30">
        <v>13630</v>
      </c>
      <c r="BA485">
        <v>484</v>
      </c>
      <c r="BB485" s="28">
        <v>1</v>
      </c>
      <c r="BC485" s="28">
        <v>1</v>
      </c>
      <c r="BD485" s="29">
        <v>1</v>
      </c>
      <c r="BE485" s="30">
        <v>17020</v>
      </c>
    </row>
    <row r="486" spans="26:57">
      <c r="Z486" s="20">
        <v>485</v>
      </c>
      <c r="AA486" s="28">
        <v>1</v>
      </c>
      <c r="AB486" s="28">
        <v>1</v>
      </c>
      <c r="AC486" s="29">
        <v>1</v>
      </c>
      <c r="AD486" s="30">
        <v>14100</v>
      </c>
      <c r="BA486">
        <v>485</v>
      </c>
      <c r="BB486" s="28">
        <v>1</v>
      </c>
      <c r="BC486" s="28">
        <v>1</v>
      </c>
      <c r="BD486" s="29">
        <v>1</v>
      </c>
      <c r="BE486" s="30">
        <v>18260</v>
      </c>
    </row>
    <row r="487" spans="26:57">
      <c r="Z487" s="20">
        <v>486</v>
      </c>
      <c r="AA487" s="28">
        <v>1</v>
      </c>
      <c r="AB487" s="28">
        <v>1</v>
      </c>
      <c r="AC487" s="29">
        <v>1</v>
      </c>
      <c r="AD487" s="30">
        <v>12330</v>
      </c>
      <c r="BA487">
        <v>486</v>
      </c>
      <c r="BB487" s="28">
        <v>1</v>
      </c>
      <c r="BC487" s="28">
        <v>0</v>
      </c>
      <c r="BD487" s="29">
        <v>0.98</v>
      </c>
      <c r="BE487" s="30">
        <v>20540</v>
      </c>
    </row>
    <row r="488" spans="26:57">
      <c r="Z488" s="20">
        <v>487</v>
      </c>
      <c r="AA488" s="28">
        <v>1</v>
      </c>
      <c r="AB488" s="28">
        <v>1</v>
      </c>
      <c r="AC488" s="29">
        <v>1</v>
      </c>
      <c r="AD488" s="30">
        <v>13660</v>
      </c>
      <c r="BA488">
        <v>487</v>
      </c>
      <c r="BB488" s="28">
        <v>1</v>
      </c>
      <c r="BC488" s="28">
        <v>1</v>
      </c>
      <c r="BD488" s="29">
        <v>1</v>
      </c>
      <c r="BE488" s="30">
        <v>15600</v>
      </c>
    </row>
    <row r="489" spans="26:57">
      <c r="Z489" s="20">
        <v>488</v>
      </c>
      <c r="AA489" s="28">
        <v>1</v>
      </c>
      <c r="AB489" s="28">
        <v>1</v>
      </c>
      <c r="AC489" s="29">
        <v>1</v>
      </c>
      <c r="AD489" s="30">
        <v>12130</v>
      </c>
      <c r="BA489">
        <v>488</v>
      </c>
      <c r="BB489" s="28">
        <v>1</v>
      </c>
      <c r="BC489" s="28">
        <v>0</v>
      </c>
      <c r="BD489" s="29">
        <v>0.99</v>
      </c>
      <c r="BE489" s="30">
        <v>16610</v>
      </c>
    </row>
    <row r="490" spans="26:57">
      <c r="Z490" s="20">
        <v>489</v>
      </c>
      <c r="AA490" s="28">
        <v>1</v>
      </c>
      <c r="AB490" s="28">
        <v>1</v>
      </c>
      <c r="AC490" s="29">
        <v>1</v>
      </c>
      <c r="AD490" s="30">
        <v>14700</v>
      </c>
      <c r="BA490">
        <v>489</v>
      </c>
      <c r="BB490" s="28">
        <v>1</v>
      </c>
      <c r="BC490" s="28">
        <v>1</v>
      </c>
      <c r="BD490" s="29">
        <v>1</v>
      </c>
      <c r="BE490" s="30">
        <v>16230</v>
      </c>
    </row>
    <row r="491" spans="26:57">
      <c r="Z491" s="20">
        <v>490</v>
      </c>
      <c r="AA491" s="28">
        <v>1</v>
      </c>
      <c r="AB491" s="28">
        <v>1</v>
      </c>
      <c r="AC491" s="29">
        <v>1</v>
      </c>
      <c r="AD491" s="30">
        <v>13190</v>
      </c>
      <c r="BA491">
        <v>490</v>
      </c>
      <c r="BB491" s="28">
        <v>1</v>
      </c>
      <c r="BC491" s="28">
        <v>1</v>
      </c>
      <c r="BD491" s="29">
        <v>1</v>
      </c>
      <c r="BE491" s="30">
        <v>14940</v>
      </c>
    </row>
    <row r="492" spans="26:57">
      <c r="Z492" s="20">
        <v>491</v>
      </c>
      <c r="AA492" s="28">
        <v>1</v>
      </c>
      <c r="AB492" s="28">
        <v>1</v>
      </c>
      <c r="AC492" s="29">
        <v>1</v>
      </c>
      <c r="AD492" s="30">
        <v>12590</v>
      </c>
      <c r="BA492">
        <v>491</v>
      </c>
      <c r="BB492" s="28">
        <v>1</v>
      </c>
      <c r="BC492" s="28">
        <v>1</v>
      </c>
      <c r="BD492" s="29">
        <v>1</v>
      </c>
      <c r="BE492" s="30">
        <v>17030</v>
      </c>
    </row>
    <row r="493" spans="26:57">
      <c r="Z493" s="20">
        <v>492</v>
      </c>
      <c r="AA493" s="28">
        <v>1</v>
      </c>
      <c r="AB493" s="28">
        <v>1</v>
      </c>
      <c r="AC493" s="29">
        <v>1</v>
      </c>
      <c r="AD493" s="30">
        <v>13080</v>
      </c>
      <c r="BA493">
        <v>492</v>
      </c>
      <c r="BB493" s="28">
        <v>1</v>
      </c>
      <c r="BC493" s="28">
        <v>0</v>
      </c>
      <c r="BD493" s="29">
        <v>0.99</v>
      </c>
      <c r="BE493" s="30">
        <v>14780</v>
      </c>
    </row>
    <row r="494" spans="26:57">
      <c r="Z494" s="20">
        <v>493</v>
      </c>
      <c r="AA494" s="28">
        <v>1</v>
      </c>
      <c r="AB494" s="28">
        <v>1</v>
      </c>
      <c r="AC494" s="29">
        <v>1</v>
      </c>
      <c r="AD494" s="30">
        <v>12620</v>
      </c>
      <c r="BA494">
        <v>493</v>
      </c>
      <c r="BB494" s="28">
        <v>1</v>
      </c>
      <c r="BC494" s="28">
        <v>1</v>
      </c>
      <c r="BD494" s="29">
        <v>1</v>
      </c>
      <c r="BE494" s="30">
        <v>18250</v>
      </c>
    </row>
    <row r="495" spans="26:57">
      <c r="Z495" s="20">
        <v>494</v>
      </c>
      <c r="AA495" s="28">
        <v>1</v>
      </c>
      <c r="AB495" s="28">
        <v>1</v>
      </c>
      <c r="AC495" s="29">
        <v>1</v>
      </c>
      <c r="AD495" s="30">
        <v>12610</v>
      </c>
      <c r="BA495">
        <v>494</v>
      </c>
      <c r="BB495" s="28">
        <v>1</v>
      </c>
      <c r="BC495" s="28">
        <v>1</v>
      </c>
      <c r="BD495" s="29">
        <v>1</v>
      </c>
      <c r="BE495" s="30">
        <v>17160</v>
      </c>
    </row>
    <row r="496" spans="26:57">
      <c r="Z496" s="20">
        <v>495</v>
      </c>
      <c r="AA496" s="28">
        <v>1</v>
      </c>
      <c r="AB496" s="28">
        <v>1</v>
      </c>
      <c r="AC496" s="29">
        <v>1</v>
      </c>
      <c r="AD496" s="30">
        <v>14920</v>
      </c>
      <c r="BA496">
        <v>495</v>
      </c>
      <c r="BB496" s="28">
        <v>1</v>
      </c>
      <c r="BC496" s="28">
        <v>1</v>
      </c>
      <c r="BD496" s="29">
        <v>1</v>
      </c>
      <c r="BE496" s="30">
        <v>16410</v>
      </c>
    </row>
    <row r="497" spans="26:57">
      <c r="Z497" s="20">
        <v>496</v>
      </c>
      <c r="AA497" s="28">
        <v>1</v>
      </c>
      <c r="AB497" s="28">
        <v>1</v>
      </c>
      <c r="AC497" s="29">
        <v>1</v>
      </c>
      <c r="AD497" s="30">
        <v>13460</v>
      </c>
      <c r="BA497">
        <v>496</v>
      </c>
      <c r="BB497" s="28">
        <v>1</v>
      </c>
      <c r="BC497" s="28">
        <v>0</v>
      </c>
      <c r="BD497" s="29">
        <v>0.99</v>
      </c>
      <c r="BE497" s="30">
        <v>18060</v>
      </c>
    </row>
    <row r="498" spans="26:57">
      <c r="Z498" s="20">
        <v>497</v>
      </c>
      <c r="AA498" s="28">
        <v>1</v>
      </c>
      <c r="AB498" s="28">
        <v>1</v>
      </c>
      <c r="AC498" s="29">
        <v>1</v>
      </c>
      <c r="AD498" s="30">
        <v>12790</v>
      </c>
      <c r="BA498">
        <v>497</v>
      </c>
      <c r="BB498" s="28">
        <v>1</v>
      </c>
      <c r="BC498" s="28">
        <v>1</v>
      </c>
      <c r="BD498" s="29">
        <v>1</v>
      </c>
      <c r="BE498" s="30">
        <v>17150</v>
      </c>
    </row>
    <row r="499" spans="26:57">
      <c r="Z499" s="20">
        <v>498</v>
      </c>
      <c r="AA499" s="28">
        <v>1</v>
      </c>
      <c r="AB499" s="28">
        <v>1</v>
      </c>
      <c r="AC499" s="29">
        <v>1</v>
      </c>
      <c r="AD499" s="30">
        <v>12200</v>
      </c>
      <c r="BA499">
        <v>498</v>
      </c>
      <c r="BB499" s="28">
        <v>1</v>
      </c>
      <c r="BC499" s="28">
        <v>1</v>
      </c>
      <c r="BD499" s="29">
        <v>1</v>
      </c>
      <c r="BE499" s="30">
        <v>19410</v>
      </c>
    </row>
    <row r="500" spans="26:57">
      <c r="Z500" s="20">
        <v>499</v>
      </c>
      <c r="AA500" s="28">
        <v>1</v>
      </c>
      <c r="AB500" s="28">
        <v>1</v>
      </c>
      <c r="AC500" s="29">
        <v>1</v>
      </c>
      <c r="AD500" s="30">
        <v>12570</v>
      </c>
      <c r="BA500">
        <v>499</v>
      </c>
      <c r="BB500" s="28">
        <v>0</v>
      </c>
      <c r="BC500" s="28">
        <v>0</v>
      </c>
      <c r="BD500" s="29">
        <v>1</v>
      </c>
      <c r="BE500" s="30">
        <v>18320</v>
      </c>
    </row>
    <row r="501" spans="26:57">
      <c r="Z501" s="20">
        <v>500</v>
      </c>
      <c r="AA501" s="28">
        <v>1</v>
      </c>
      <c r="AB501" s="28">
        <v>1</v>
      </c>
      <c r="AC501" s="29">
        <v>1</v>
      </c>
      <c r="AD501" s="30">
        <v>11570</v>
      </c>
      <c r="BA501">
        <v>500</v>
      </c>
      <c r="BB501" s="28">
        <v>1</v>
      </c>
      <c r="BC501" s="28">
        <v>0</v>
      </c>
      <c r="BD501" s="29">
        <v>0.98</v>
      </c>
      <c r="BE501" s="30">
        <v>18730</v>
      </c>
    </row>
    <row r="502" spans="26:57">
      <c r="Z502" s="20">
        <v>501</v>
      </c>
      <c r="AA502" s="28">
        <v>1</v>
      </c>
      <c r="AB502" s="28">
        <v>1</v>
      </c>
      <c r="AC502" s="29">
        <v>1</v>
      </c>
      <c r="AD502" s="30">
        <v>12790</v>
      </c>
      <c r="BA502">
        <v>501</v>
      </c>
      <c r="BB502" s="28">
        <v>1</v>
      </c>
      <c r="BC502" s="28">
        <v>1</v>
      </c>
      <c r="BD502" s="29">
        <v>1</v>
      </c>
      <c r="BE502" s="30">
        <v>18120</v>
      </c>
    </row>
    <row r="503" spans="26:57">
      <c r="Z503" s="20">
        <v>502</v>
      </c>
      <c r="AA503" s="28">
        <v>1</v>
      </c>
      <c r="AB503" s="28">
        <v>1</v>
      </c>
      <c r="AC503" s="29">
        <v>1</v>
      </c>
      <c r="AD503" s="30">
        <v>11900</v>
      </c>
      <c r="BA503">
        <v>502</v>
      </c>
      <c r="BB503" s="28">
        <v>1</v>
      </c>
      <c r="BC503" s="28">
        <v>1</v>
      </c>
      <c r="BD503" s="29">
        <v>1</v>
      </c>
      <c r="BE503" s="30">
        <v>17130</v>
      </c>
    </row>
    <row r="504" spans="26:57">
      <c r="Z504" s="20">
        <v>503</v>
      </c>
      <c r="AA504" s="28">
        <v>1</v>
      </c>
      <c r="AB504" s="28">
        <v>1</v>
      </c>
      <c r="AC504" s="29">
        <v>1</v>
      </c>
      <c r="AD504" s="30">
        <v>13790</v>
      </c>
      <c r="BA504">
        <v>503</v>
      </c>
      <c r="BB504" s="28">
        <v>1</v>
      </c>
      <c r="BC504" s="28">
        <v>1</v>
      </c>
      <c r="BD504" s="29">
        <v>1</v>
      </c>
      <c r="BE504" s="30">
        <v>16150</v>
      </c>
    </row>
    <row r="505" spans="26:57">
      <c r="Z505" s="20">
        <v>504</v>
      </c>
      <c r="AA505" s="28">
        <v>1</v>
      </c>
      <c r="AB505" s="28">
        <v>1</v>
      </c>
      <c r="AC505" s="29">
        <v>1</v>
      </c>
      <c r="AD505" s="30">
        <v>12610</v>
      </c>
      <c r="BA505">
        <v>504</v>
      </c>
      <c r="BB505" s="28">
        <v>1</v>
      </c>
      <c r="BC505" s="28">
        <v>0</v>
      </c>
      <c r="BD505" s="29">
        <v>0.99</v>
      </c>
      <c r="BE505" s="30">
        <v>16260</v>
      </c>
    </row>
    <row r="506" spans="26:57">
      <c r="Z506" s="20">
        <v>505</v>
      </c>
      <c r="AA506" s="28">
        <v>1</v>
      </c>
      <c r="AB506" s="28">
        <v>1</v>
      </c>
      <c r="AC506" s="29">
        <v>1</v>
      </c>
      <c r="AD506" s="30">
        <v>13340</v>
      </c>
      <c r="BA506">
        <v>505</v>
      </c>
      <c r="BB506" s="28">
        <v>1</v>
      </c>
      <c r="BC506" s="28">
        <v>1</v>
      </c>
      <c r="BD506" s="29">
        <v>1</v>
      </c>
      <c r="BE506" s="30">
        <v>17220</v>
      </c>
    </row>
    <row r="507" spans="26:57">
      <c r="Z507" s="20">
        <v>506</v>
      </c>
      <c r="AA507" s="28">
        <v>1</v>
      </c>
      <c r="AB507" s="28">
        <v>1</v>
      </c>
      <c r="AC507" s="29">
        <v>1</v>
      </c>
      <c r="AD507" s="30">
        <v>11390</v>
      </c>
      <c r="BA507">
        <v>506</v>
      </c>
      <c r="BB507" s="28">
        <v>1</v>
      </c>
      <c r="BC507" s="28">
        <v>1</v>
      </c>
      <c r="BD507" s="29">
        <v>1</v>
      </c>
      <c r="BE507" s="30">
        <v>17760</v>
      </c>
    </row>
    <row r="508" spans="26:57">
      <c r="Z508" s="20">
        <v>507</v>
      </c>
      <c r="AA508" s="28">
        <v>1</v>
      </c>
      <c r="AB508" s="28">
        <v>1</v>
      </c>
      <c r="AC508" s="29">
        <v>1</v>
      </c>
      <c r="AD508" s="30">
        <v>15160</v>
      </c>
      <c r="BA508">
        <v>507</v>
      </c>
      <c r="BB508" s="28">
        <v>1</v>
      </c>
      <c r="BC508" s="28">
        <v>1</v>
      </c>
      <c r="BD508" s="29">
        <v>1</v>
      </c>
      <c r="BE508" s="30">
        <v>15020</v>
      </c>
    </row>
    <row r="509" spans="26:57">
      <c r="Z509" s="20">
        <v>508</v>
      </c>
      <c r="AA509" s="28">
        <v>1</v>
      </c>
      <c r="AB509" s="28">
        <v>1</v>
      </c>
      <c r="AC509" s="29">
        <v>1</v>
      </c>
      <c r="AD509" s="30">
        <v>14130</v>
      </c>
      <c r="BA509">
        <v>508</v>
      </c>
      <c r="BB509" s="28">
        <v>1</v>
      </c>
      <c r="BC509" s="28">
        <v>0</v>
      </c>
      <c r="BD509" s="29">
        <v>0.99</v>
      </c>
      <c r="BE509" s="30">
        <v>18940</v>
      </c>
    </row>
    <row r="510" spans="26:57">
      <c r="Z510" s="20">
        <v>509</v>
      </c>
      <c r="AA510" s="28">
        <v>1</v>
      </c>
      <c r="AB510" s="28">
        <v>1</v>
      </c>
      <c r="AC510" s="29">
        <v>1</v>
      </c>
      <c r="AD510" s="30">
        <v>11680</v>
      </c>
      <c r="BA510">
        <v>509</v>
      </c>
      <c r="BB510" s="28">
        <v>1</v>
      </c>
      <c r="BC510" s="28">
        <v>0</v>
      </c>
      <c r="BD510" s="29">
        <v>0.99</v>
      </c>
      <c r="BE510" s="30">
        <v>15700</v>
      </c>
    </row>
    <row r="511" spans="26:57">
      <c r="Z511" s="20">
        <v>510</v>
      </c>
      <c r="AA511" s="28">
        <v>1</v>
      </c>
      <c r="AB511" s="28">
        <v>1</v>
      </c>
      <c r="AC511" s="29">
        <v>1</v>
      </c>
      <c r="AD511" s="30">
        <v>11330</v>
      </c>
      <c r="BA511">
        <v>510</v>
      </c>
      <c r="BB511" s="28">
        <v>1</v>
      </c>
      <c r="BC511" s="28">
        <v>0</v>
      </c>
      <c r="BD511" s="29">
        <v>0.98</v>
      </c>
      <c r="BE511" s="30">
        <v>18610</v>
      </c>
    </row>
    <row r="512" spans="26:57">
      <c r="Z512" s="20">
        <v>511</v>
      </c>
      <c r="AA512" s="28">
        <v>1</v>
      </c>
      <c r="AB512" s="28">
        <v>1</v>
      </c>
      <c r="AC512" s="29">
        <v>1</v>
      </c>
      <c r="AD512" s="30">
        <v>13590</v>
      </c>
      <c r="BA512">
        <v>511</v>
      </c>
      <c r="BB512" s="28">
        <v>1</v>
      </c>
      <c r="BC512" s="28">
        <v>0</v>
      </c>
      <c r="BD512" s="29">
        <v>0.98</v>
      </c>
      <c r="BE512" s="30">
        <v>19860</v>
      </c>
    </row>
    <row r="513" spans="26:57">
      <c r="Z513" s="20">
        <v>512</v>
      </c>
      <c r="AA513" s="28">
        <v>1</v>
      </c>
      <c r="AB513" s="28">
        <v>1</v>
      </c>
      <c r="AC513" s="29">
        <v>1</v>
      </c>
      <c r="AD513" s="30">
        <v>13700</v>
      </c>
      <c r="BA513">
        <v>512</v>
      </c>
      <c r="BB513" s="28">
        <v>1</v>
      </c>
      <c r="BC513" s="28">
        <v>0</v>
      </c>
      <c r="BD513" s="29">
        <v>0.97</v>
      </c>
      <c r="BE513" s="30">
        <v>16770</v>
      </c>
    </row>
    <row r="514" spans="26:57">
      <c r="Z514" s="20">
        <v>513</v>
      </c>
      <c r="AA514" s="28">
        <v>1</v>
      </c>
      <c r="AB514" s="28">
        <v>1</v>
      </c>
      <c r="AC514" s="29">
        <v>1</v>
      </c>
      <c r="AD514" s="30">
        <v>11520</v>
      </c>
      <c r="BA514">
        <v>513</v>
      </c>
      <c r="BB514" s="28">
        <v>1</v>
      </c>
      <c r="BC514" s="28">
        <v>0</v>
      </c>
      <c r="BD514" s="29">
        <v>0.99</v>
      </c>
      <c r="BE514" s="30">
        <v>16230</v>
      </c>
    </row>
    <row r="515" spans="26:57">
      <c r="Z515" s="20">
        <v>514</v>
      </c>
      <c r="AA515" s="28">
        <v>1</v>
      </c>
      <c r="AB515" s="28">
        <v>1</v>
      </c>
      <c r="AC515" s="29">
        <v>1</v>
      </c>
      <c r="AD515" s="30">
        <v>13850</v>
      </c>
      <c r="BA515">
        <v>514</v>
      </c>
      <c r="BB515" s="28">
        <v>1</v>
      </c>
      <c r="BC515" s="28">
        <v>1</v>
      </c>
      <c r="BD515" s="29">
        <v>1</v>
      </c>
      <c r="BE515" s="30">
        <v>17260</v>
      </c>
    </row>
    <row r="516" spans="26:57">
      <c r="Z516" s="20">
        <v>515</v>
      </c>
      <c r="AA516" s="28">
        <v>1</v>
      </c>
      <c r="AB516" s="28">
        <v>1</v>
      </c>
      <c r="AC516" s="29">
        <v>1</v>
      </c>
      <c r="AD516" s="30">
        <v>11930</v>
      </c>
      <c r="BA516">
        <v>515</v>
      </c>
      <c r="BB516" s="28">
        <v>1</v>
      </c>
      <c r="BC516" s="28">
        <v>0</v>
      </c>
      <c r="BD516" s="29">
        <v>0.99</v>
      </c>
      <c r="BE516" s="30">
        <v>17840</v>
      </c>
    </row>
    <row r="517" spans="26:57">
      <c r="Z517" s="20">
        <v>516</v>
      </c>
      <c r="AA517" s="28">
        <v>1</v>
      </c>
      <c r="AB517" s="28">
        <v>1</v>
      </c>
      <c r="AC517" s="29">
        <v>1</v>
      </c>
      <c r="AD517" s="30">
        <v>13220</v>
      </c>
      <c r="BA517">
        <v>516</v>
      </c>
      <c r="BB517" s="28">
        <v>1</v>
      </c>
      <c r="BC517" s="28">
        <v>1</v>
      </c>
      <c r="BD517" s="29">
        <v>1</v>
      </c>
      <c r="BE517" s="30">
        <v>15960</v>
      </c>
    </row>
    <row r="518" spans="26:57">
      <c r="Z518" s="20">
        <v>517</v>
      </c>
      <c r="AA518" s="28">
        <v>1</v>
      </c>
      <c r="AB518" s="28">
        <v>1</v>
      </c>
      <c r="AC518" s="29">
        <v>1</v>
      </c>
      <c r="AD518" s="30">
        <v>13370</v>
      </c>
      <c r="BA518">
        <v>517</v>
      </c>
      <c r="BB518" s="28">
        <v>1</v>
      </c>
      <c r="BC518" s="28">
        <v>1</v>
      </c>
      <c r="BD518" s="29">
        <v>1</v>
      </c>
      <c r="BE518" s="30">
        <v>17050</v>
      </c>
    </row>
    <row r="519" spans="26:57">
      <c r="Z519" s="20">
        <v>518</v>
      </c>
      <c r="AA519" s="28">
        <v>1</v>
      </c>
      <c r="AB519" s="28">
        <v>1</v>
      </c>
      <c r="AC519" s="29">
        <v>1</v>
      </c>
      <c r="AD519" s="30">
        <v>12650</v>
      </c>
      <c r="BA519">
        <v>518</v>
      </c>
      <c r="BB519" s="28">
        <v>1</v>
      </c>
      <c r="BC519" s="28">
        <v>1</v>
      </c>
      <c r="BD519" s="29">
        <v>1</v>
      </c>
      <c r="BE519" s="30">
        <v>16960</v>
      </c>
    </row>
    <row r="520" spans="26:57">
      <c r="Z520" s="20">
        <v>519</v>
      </c>
      <c r="AA520" s="28">
        <v>1</v>
      </c>
      <c r="AB520" s="28">
        <v>1</v>
      </c>
      <c r="AC520" s="29">
        <v>1</v>
      </c>
      <c r="AD520" s="30">
        <v>11130</v>
      </c>
      <c r="BA520">
        <v>519</v>
      </c>
      <c r="BB520" s="28">
        <v>1</v>
      </c>
      <c r="BC520" s="28">
        <v>0</v>
      </c>
      <c r="BD520" s="29">
        <v>0.99</v>
      </c>
      <c r="BE520" s="30">
        <v>19190</v>
      </c>
    </row>
    <row r="521" spans="26:57">
      <c r="Z521" s="20">
        <v>520</v>
      </c>
      <c r="AA521" s="28">
        <v>1</v>
      </c>
      <c r="AB521" s="28">
        <v>1</v>
      </c>
      <c r="AC521" s="29">
        <v>1</v>
      </c>
      <c r="AD521" s="30">
        <v>11810</v>
      </c>
      <c r="BA521">
        <v>520</v>
      </c>
      <c r="BB521" s="28">
        <v>1</v>
      </c>
      <c r="BC521" s="28">
        <v>1</v>
      </c>
      <c r="BD521" s="29">
        <v>1</v>
      </c>
      <c r="BE521" s="30">
        <v>14770</v>
      </c>
    </row>
    <row r="522" spans="26:57">
      <c r="Z522" s="20">
        <v>521</v>
      </c>
      <c r="AA522" s="28">
        <v>1</v>
      </c>
      <c r="AB522" s="28">
        <v>1</v>
      </c>
      <c r="AC522" s="29">
        <v>1</v>
      </c>
      <c r="AD522" s="30">
        <v>14870</v>
      </c>
      <c r="BA522">
        <v>521</v>
      </c>
      <c r="BB522" s="28">
        <v>1</v>
      </c>
      <c r="BC522" s="28">
        <v>0</v>
      </c>
      <c r="BD522" s="29">
        <v>0.98</v>
      </c>
      <c r="BE522" s="30">
        <v>20440</v>
      </c>
    </row>
    <row r="523" spans="26:57">
      <c r="Z523" s="20">
        <v>522</v>
      </c>
      <c r="AA523" s="28">
        <v>1</v>
      </c>
      <c r="AB523" s="28">
        <v>1</v>
      </c>
      <c r="AC523" s="29">
        <v>1</v>
      </c>
      <c r="AD523" s="30">
        <v>13670</v>
      </c>
      <c r="BA523">
        <v>522</v>
      </c>
      <c r="BB523" s="28">
        <v>1</v>
      </c>
      <c r="BC523" s="28">
        <v>1</v>
      </c>
      <c r="BD523" s="29">
        <v>1</v>
      </c>
      <c r="BE523" s="30">
        <v>16800</v>
      </c>
    </row>
    <row r="524" spans="26:57">
      <c r="Z524" s="20">
        <v>523</v>
      </c>
      <c r="AA524" s="28">
        <v>1</v>
      </c>
      <c r="AB524" s="28">
        <v>1</v>
      </c>
      <c r="AC524" s="29">
        <v>1</v>
      </c>
      <c r="AD524" s="30">
        <v>11580</v>
      </c>
      <c r="BA524">
        <v>523</v>
      </c>
      <c r="BB524" s="28">
        <v>1</v>
      </c>
      <c r="BC524" s="28">
        <v>1</v>
      </c>
      <c r="BD524" s="29">
        <v>1</v>
      </c>
      <c r="BE524" s="30">
        <v>18400</v>
      </c>
    </row>
    <row r="525" spans="26:57">
      <c r="Z525" s="20">
        <v>524</v>
      </c>
      <c r="AA525" s="28">
        <v>0</v>
      </c>
      <c r="AB525" s="28">
        <v>0</v>
      </c>
      <c r="AC525" s="29">
        <v>1</v>
      </c>
      <c r="AD525" s="30">
        <v>14360</v>
      </c>
      <c r="BA525">
        <v>524</v>
      </c>
      <c r="BB525" s="28">
        <v>1</v>
      </c>
      <c r="BC525" s="28">
        <v>1</v>
      </c>
      <c r="BD525" s="29">
        <v>1</v>
      </c>
      <c r="BE525" s="30">
        <v>15840</v>
      </c>
    </row>
    <row r="526" spans="26:57">
      <c r="Z526" s="20">
        <v>525</v>
      </c>
      <c r="AA526" s="28">
        <v>1</v>
      </c>
      <c r="AB526" s="28">
        <v>1</v>
      </c>
      <c r="AC526" s="29">
        <v>1</v>
      </c>
      <c r="AD526" s="30">
        <v>13630</v>
      </c>
      <c r="BA526">
        <v>525</v>
      </c>
      <c r="BB526" s="28">
        <v>1</v>
      </c>
      <c r="BC526" s="28">
        <v>1</v>
      </c>
      <c r="BD526" s="29">
        <v>1</v>
      </c>
      <c r="BE526" s="30">
        <v>15140</v>
      </c>
    </row>
    <row r="527" spans="26:57">
      <c r="Z527" s="20">
        <v>526</v>
      </c>
      <c r="AA527" s="28">
        <v>1</v>
      </c>
      <c r="AB527" s="28">
        <v>1</v>
      </c>
      <c r="AC527" s="29">
        <v>1</v>
      </c>
      <c r="AD527" s="30">
        <v>13870</v>
      </c>
      <c r="BA527">
        <v>526</v>
      </c>
      <c r="BB527" s="28">
        <v>1</v>
      </c>
      <c r="BC527" s="28">
        <v>1</v>
      </c>
      <c r="BD527" s="29">
        <v>1</v>
      </c>
      <c r="BE527" s="30">
        <v>16690</v>
      </c>
    </row>
    <row r="528" spans="26:57">
      <c r="Z528" s="20">
        <v>527</v>
      </c>
      <c r="AA528" s="28">
        <v>1</v>
      </c>
      <c r="AB528" s="28">
        <v>1</v>
      </c>
      <c r="AC528" s="29">
        <v>1</v>
      </c>
      <c r="AD528" s="30">
        <v>13220</v>
      </c>
      <c r="BA528">
        <v>527</v>
      </c>
      <c r="BB528" s="28">
        <v>1</v>
      </c>
      <c r="BC528" s="28">
        <v>1</v>
      </c>
      <c r="BD528" s="29">
        <v>1</v>
      </c>
      <c r="BE528" s="30">
        <v>17120</v>
      </c>
    </row>
    <row r="529" spans="26:57">
      <c r="Z529" s="20">
        <v>528</v>
      </c>
      <c r="AA529" s="28">
        <v>1</v>
      </c>
      <c r="AB529" s="28">
        <v>1</v>
      </c>
      <c r="AC529" s="29">
        <v>1</v>
      </c>
      <c r="AD529" s="30">
        <v>12500</v>
      </c>
      <c r="BA529">
        <v>528</v>
      </c>
      <c r="BB529" s="28">
        <v>1</v>
      </c>
      <c r="BC529" s="28">
        <v>0</v>
      </c>
      <c r="BD529" s="29">
        <v>0.99</v>
      </c>
      <c r="BE529" s="30">
        <v>18770</v>
      </c>
    </row>
    <row r="530" spans="26:57">
      <c r="Z530" s="20">
        <v>529</v>
      </c>
      <c r="AA530" s="28">
        <v>1</v>
      </c>
      <c r="AB530" s="28">
        <v>1</v>
      </c>
      <c r="AC530" s="29">
        <v>1</v>
      </c>
      <c r="AD530" s="30">
        <v>12900</v>
      </c>
      <c r="BA530">
        <v>529</v>
      </c>
      <c r="BB530" s="28">
        <v>1</v>
      </c>
      <c r="BC530" s="28">
        <v>0</v>
      </c>
      <c r="BD530" s="29">
        <v>0.98</v>
      </c>
      <c r="BE530" s="30">
        <v>17370</v>
      </c>
    </row>
    <row r="531" spans="26:57">
      <c r="Z531" s="20">
        <v>530</v>
      </c>
      <c r="AA531" s="28">
        <v>1</v>
      </c>
      <c r="AB531" s="28">
        <v>1</v>
      </c>
      <c r="AC531" s="29">
        <v>1</v>
      </c>
      <c r="AD531" s="30">
        <v>12200</v>
      </c>
      <c r="BA531">
        <v>530</v>
      </c>
      <c r="BB531" s="28">
        <v>1</v>
      </c>
      <c r="BC531" s="28">
        <v>0</v>
      </c>
      <c r="BD531" s="29">
        <v>0.97</v>
      </c>
      <c r="BE531" s="30">
        <v>18050</v>
      </c>
    </row>
    <row r="532" spans="26:57">
      <c r="Z532" s="20">
        <v>531</v>
      </c>
      <c r="AA532" s="28">
        <v>1</v>
      </c>
      <c r="AB532" s="28">
        <v>1</v>
      </c>
      <c r="AC532" s="29">
        <v>1</v>
      </c>
      <c r="AD532" s="30">
        <v>13040</v>
      </c>
      <c r="BA532">
        <v>531</v>
      </c>
      <c r="BB532" s="28">
        <v>1</v>
      </c>
      <c r="BC532" s="28">
        <v>1</v>
      </c>
      <c r="BD532" s="29">
        <v>1</v>
      </c>
      <c r="BE532" s="30">
        <v>17230</v>
      </c>
    </row>
    <row r="533" spans="26:57">
      <c r="Z533" s="20">
        <v>532</v>
      </c>
      <c r="AA533" s="28">
        <v>1</v>
      </c>
      <c r="AB533" s="28">
        <v>1</v>
      </c>
      <c r="AC533" s="29">
        <v>1</v>
      </c>
      <c r="AD533" s="30">
        <v>12130</v>
      </c>
      <c r="BA533">
        <v>532</v>
      </c>
      <c r="BB533" s="28">
        <v>1</v>
      </c>
      <c r="BC533" s="28">
        <v>0</v>
      </c>
      <c r="BD533" s="29">
        <v>0.99</v>
      </c>
      <c r="BE533" s="30">
        <v>16880</v>
      </c>
    </row>
    <row r="534" spans="26:57">
      <c r="Z534" s="20">
        <v>533</v>
      </c>
      <c r="AA534" s="28">
        <v>1</v>
      </c>
      <c r="AB534" s="28">
        <v>1</v>
      </c>
      <c r="AC534" s="29">
        <v>1</v>
      </c>
      <c r="AD534" s="30">
        <v>12430</v>
      </c>
      <c r="BA534">
        <v>533</v>
      </c>
      <c r="BB534" s="28">
        <v>1</v>
      </c>
      <c r="BC534" s="28">
        <v>1</v>
      </c>
      <c r="BD534" s="29">
        <v>1</v>
      </c>
      <c r="BE534" s="30">
        <v>17120</v>
      </c>
    </row>
    <row r="535" spans="26:57">
      <c r="Z535" s="20">
        <v>534</v>
      </c>
      <c r="AA535" s="28">
        <v>1</v>
      </c>
      <c r="AB535" s="28">
        <v>1</v>
      </c>
      <c r="AC535" s="29">
        <v>1</v>
      </c>
      <c r="AD535" s="30">
        <v>12620</v>
      </c>
      <c r="BA535">
        <v>534</v>
      </c>
      <c r="BB535" s="28">
        <v>1</v>
      </c>
      <c r="BC535" s="28">
        <v>0</v>
      </c>
      <c r="BD535" s="29">
        <v>0.98</v>
      </c>
      <c r="BE535" s="30">
        <v>17830</v>
      </c>
    </row>
    <row r="536" spans="26:57">
      <c r="Z536" s="20">
        <v>535</v>
      </c>
      <c r="AA536" s="28">
        <v>1</v>
      </c>
      <c r="AB536" s="28">
        <v>1</v>
      </c>
      <c r="AC536" s="29">
        <v>1</v>
      </c>
      <c r="AD536" s="30">
        <v>12750</v>
      </c>
      <c r="BA536">
        <v>535</v>
      </c>
      <c r="BB536" s="28">
        <v>1</v>
      </c>
      <c r="BC536" s="28">
        <v>1</v>
      </c>
      <c r="BD536" s="29">
        <v>1</v>
      </c>
      <c r="BE536" s="30">
        <v>16050</v>
      </c>
    </row>
    <row r="537" spans="26:57">
      <c r="Z537" s="20">
        <v>536</v>
      </c>
      <c r="AA537" s="28">
        <v>1</v>
      </c>
      <c r="AB537" s="28">
        <v>1</v>
      </c>
      <c r="AC537" s="29">
        <v>1</v>
      </c>
      <c r="AD537" s="30">
        <v>11680</v>
      </c>
      <c r="BA537">
        <v>536</v>
      </c>
      <c r="BB537" s="28">
        <v>1</v>
      </c>
      <c r="BC537" s="28">
        <v>1</v>
      </c>
      <c r="BD537" s="29">
        <v>1</v>
      </c>
      <c r="BE537" s="30">
        <v>16470</v>
      </c>
    </row>
    <row r="538" spans="26:57">
      <c r="Z538" s="20">
        <v>537</v>
      </c>
      <c r="AA538" s="28">
        <v>1</v>
      </c>
      <c r="AB538" s="28">
        <v>1</v>
      </c>
      <c r="AC538" s="29">
        <v>1</v>
      </c>
      <c r="AD538" s="30">
        <v>12250</v>
      </c>
      <c r="BA538">
        <v>537</v>
      </c>
      <c r="BB538" s="28">
        <v>1</v>
      </c>
      <c r="BC538" s="28">
        <v>1</v>
      </c>
      <c r="BD538" s="29">
        <v>1</v>
      </c>
      <c r="BE538" s="30">
        <v>15720</v>
      </c>
    </row>
    <row r="539" spans="26:57">
      <c r="Z539" s="20">
        <v>538</v>
      </c>
      <c r="AA539" s="28">
        <v>1</v>
      </c>
      <c r="AB539" s="28">
        <v>1</v>
      </c>
      <c r="AC539" s="29">
        <v>1</v>
      </c>
      <c r="AD539" s="30">
        <v>13760</v>
      </c>
      <c r="BA539">
        <v>538</v>
      </c>
      <c r="BB539" s="28">
        <v>1</v>
      </c>
      <c r="BC539" s="28">
        <v>1</v>
      </c>
      <c r="BD539" s="29">
        <v>1</v>
      </c>
      <c r="BE539" s="30">
        <v>17960</v>
      </c>
    </row>
    <row r="540" spans="26:57">
      <c r="Z540" s="20">
        <v>539</v>
      </c>
      <c r="AA540" s="28">
        <v>1</v>
      </c>
      <c r="AB540" s="28">
        <v>1</v>
      </c>
      <c r="AC540" s="29">
        <v>1</v>
      </c>
      <c r="AD540" s="30">
        <v>11760</v>
      </c>
      <c r="BA540">
        <v>539</v>
      </c>
      <c r="BB540" s="28">
        <v>1</v>
      </c>
      <c r="BC540" s="28">
        <v>1</v>
      </c>
      <c r="BD540" s="29">
        <v>1</v>
      </c>
      <c r="BE540" s="30">
        <v>16300</v>
      </c>
    </row>
    <row r="541" spans="26:57">
      <c r="Z541" s="20">
        <v>540</v>
      </c>
      <c r="AA541" s="28">
        <v>1</v>
      </c>
      <c r="AB541" s="28">
        <v>1</v>
      </c>
      <c r="AC541" s="29">
        <v>1</v>
      </c>
      <c r="AD541" s="30">
        <v>12100</v>
      </c>
      <c r="BA541">
        <v>540</v>
      </c>
      <c r="BB541" s="28">
        <v>0</v>
      </c>
      <c r="BC541" s="28">
        <v>0</v>
      </c>
      <c r="BD541" s="29">
        <v>1</v>
      </c>
      <c r="BE541" s="30">
        <v>17460</v>
      </c>
    </row>
    <row r="542" spans="26:57">
      <c r="Z542" s="20">
        <v>541</v>
      </c>
      <c r="AA542" s="28">
        <v>1</v>
      </c>
      <c r="AB542" s="28">
        <v>1</v>
      </c>
      <c r="AC542" s="29">
        <v>1</v>
      </c>
      <c r="AD542" s="30">
        <v>10200</v>
      </c>
      <c r="BA542">
        <v>541</v>
      </c>
      <c r="BB542" s="28">
        <v>1</v>
      </c>
      <c r="BC542" s="28">
        <v>0</v>
      </c>
      <c r="BD542" s="29">
        <v>0.97</v>
      </c>
      <c r="BE542" s="30">
        <v>23270</v>
      </c>
    </row>
    <row r="543" spans="26:57">
      <c r="Z543" s="20">
        <v>542</v>
      </c>
      <c r="AA543" s="28">
        <v>1</v>
      </c>
      <c r="AB543" s="28">
        <v>1</v>
      </c>
      <c r="AC543" s="29">
        <v>1</v>
      </c>
      <c r="AD543" s="30">
        <v>10660</v>
      </c>
      <c r="BA543">
        <v>542</v>
      </c>
      <c r="BB543" s="28">
        <v>1</v>
      </c>
      <c r="BC543" s="28">
        <v>0</v>
      </c>
      <c r="BD543" s="29">
        <v>0.99</v>
      </c>
      <c r="BE543" s="30">
        <v>17110</v>
      </c>
    </row>
    <row r="544" spans="26:57">
      <c r="Z544" s="20">
        <v>543</v>
      </c>
      <c r="AA544" s="28">
        <v>1</v>
      </c>
      <c r="AB544" s="28">
        <v>1</v>
      </c>
      <c r="AC544" s="29">
        <v>1</v>
      </c>
      <c r="AD544" s="30">
        <v>13120</v>
      </c>
      <c r="BA544">
        <v>543</v>
      </c>
      <c r="BB544" s="28">
        <v>1</v>
      </c>
      <c r="BC544" s="28">
        <v>1</v>
      </c>
      <c r="BD544" s="29">
        <v>1</v>
      </c>
      <c r="BE544" s="30">
        <v>16340</v>
      </c>
    </row>
    <row r="545" spans="26:57">
      <c r="Z545" s="20">
        <v>544</v>
      </c>
      <c r="AA545" s="28">
        <v>1</v>
      </c>
      <c r="AB545" s="28">
        <v>1</v>
      </c>
      <c r="AC545" s="29">
        <v>1</v>
      </c>
      <c r="AD545" s="30">
        <v>12660</v>
      </c>
      <c r="BA545">
        <v>544</v>
      </c>
      <c r="BB545" s="28">
        <v>1</v>
      </c>
      <c r="BC545" s="28">
        <v>1</v>
      </c>
      <c r="BD545" s="29">
        <v>1</v>
      </c>
      <c r="BE545" s="30">
        <v>17130</v>
      </c>
    </row>
    <row r="546" spans="26:57">
      <c r="Z546" s="20">
        <v>545</v>
      </c>
      <c r="AA546" s="28">
        <v>1</v>
      </c>
      <c r="AB546" s="28">
        <v>1</v>
      </c>
      <c r="AC546" s="29">
        <v>1</v>
      </c>
      <c r="AD546" s="30">
        <v>13220</v>
      </c>
      <c r="BA546">
        <v>545</v>
      </c>
      <c r="BB546" s="28">
        <v>1</v>
      </c>
      <c r="BC546" s="28">
        <v>1</v>
      </c>
      <c r="BD546" s="29">
        <v>1</v>
      </c>
      <c r="BE546" s="30">
        <v>17270</v>
      </c>
    </row>
    <row r="547" spans="26:57">
      <c r="Z547" s="20">
        <v>546</v>
      </c>
      <c r="AA547" s="28">
        <v>1</v>
      </c>
      <c r="AB547" s="28">
        <v>1</v>
      </c>
      <c r="AC547" s="29">
        <v>1</v>
      </c>
      <c r="AD547" s="30">
        <v>13150</v>
      </c>
      <c r="BA547">
        <v>546</v>
      </c>
      <c r="BB547" s="28">
        <v>1</v>
      </c>
      <c r="BC547" s="28">
        <v>1</v>
      </c>
      <c r="BD547" s="29">
        <v>1</v>
      </c>
      <c r="BE547" s="30">
        <v>17250</v>
      </c>
    </row>
    <row r="548" spans="26:57">
      <c r="Z548" s="20">
        <v>547</v>
      </c>
      <c r="AA548" s="28">
        <v>1</v>
      </c>
      <c r="AB548" s="28">
        <v>1</v>
      </c>
      <c r="AC548" s="29">
        <v>1</v>
      </c>
      <c r="AD548" s="30">
        <v>12030</v>
      </c>
      <c r="BA548">
        <v>547</v>
      </c>
      <c r="BB548" s="28">
        <v>1</v>
      </c>
      <c r="BC548" s="28">
        <v>0</v>
      </c>
      <c r="BD548" s="29">
        <v>0.99</v>
      </c>
      <c r="BE548" s="30">
        <v>18410</v>
      </c>
    </row>
    <row r="549" spans="26:57">
      <c r="Z549" s="20">
        <v>548</v>
      </c>
      <c r="AA549" s="28">
        <v>1</v>
      </c>
      <c r="AB549" s="28">
        <v>1</v>
      </c>
      <c r="AC549" s="29">
        <v>1</v>
      </c>
      <c r="AD549" s="30">
        <v>12290</v>
      </c>
      <c r="BA549">
        <v>548</v>
      </c>
      <c r="BB549" s="28">
        <v>0</v>
      </c>
      <c r="BC549" s="28">
        <v>0</v>
      </c>
      <c r="BD549" s="29">
        <v>1</v>
      </c>
      <c r="BE549" s="30">
        <v>16790</v>
      </c>
    </row>
    <row r="550" spans="26:57">
      <c r="Z550" s="20">
        <v>549</v>
      </c>
      <c r="AA550" s="28">
        <v>1</v>
      </c>
      <c r="AB550" s="28">
        <v>1</v>
      </c>
      <c r="AC550" s="29">
        <v>1</v>
      </c>
      <c r="AD550" s="30">
        <v>11270</v>
      </c>
      <c r="BA550">
        <v>549</v>
      </c>
      <c r="BB550" s="28">
        <v>1</v>
      </c>
      <c r="BC550" s="28">
        <v>0</v>
      </c>
      <c r="BD550" s="29">
        <v>0.99</v>
      </c>
      <c r="BE550" s="30">
        <v>18190</v>
      </c>
    </row>
    <row r="551" spans="26:57">
      <c r="Z551" s="20">
        <v>550</v>
      </c>
      <c r="AA551" s="28">
        <v>1</v>
      </c>
      <c r="AB551" s="28">
        <v>1</v>
      </c>
      <c r="AC551" s="29">
        <v>1</v>
      </c>
      <c r="AD551" s="30">
        <v>13510</v>
      </c>
      <c r="BA551">
        <v>550</v>
      </c>
      <c r="BB551" s="28">
        <v>1</v>
      </c>
      <c r="BC551" s="28">
        <v>1</v>
      </c>
      <c r="BD551" s="29">
        <v>1</v>
      </c>
      <c r="BE551" s="30">
        <v>15390</v>
      </c>
    </row>
    <row r="552" spans="26:57">
      <c r="Z552" s="20">
        <v>551</v>
      </c>
      <c r="AA552" s="28">
        <v>1</v>
      </c>
      <c r="AB552" s="28">
        <v>1</v>
      </c>
      <c r="AC552" s="29">
        <v>1</v>
      </c>
      <c r="AD552" s="30">
        <v>12190</v>
      </c>
      <c r="BA552">
        <v>551</v>
      </c>
      <c r="BB552" s="28">
        <v>1</v>
      </c>
      <c r="BC552" s="28">
        <v>1</v>
      </c>
      <c r="BD552" s="29">
        <v>1</v>
      </c>
      <c r="BE552" s="30">
        <v>15780</v>
      </c>
    </row>
    <row r="553" spans="26:57">
      <c r="Z553" s="20">
        <v>552</v>
      </c>
      <c r="AA553" s="28">
        <v>1</v>
      </c>
      <c r="AB553" s="28">
        <v>1</v>
      </c>
      <c r="AC553" s="29">
        <v>1</v>
      </c>
      <c r="AD553" s="30">
        <v>12260</v>
      </c>
      <c r="BA553">
        <v>552</v>
      </c>
      <c r="BB553" s="28">
        <v>1</v>
      </c>
      <c r="BC553" s="28">
        <v>0</v>
      </c>
      <c r="BD553" s="29">
        <v>0.98</v>
      </c>
      <c r="BE553" s="30">
        <v>19220</v>
      </c>
    </row>
    <row r="554" spans="26:57">
      <c r="Z554" s="20">
        <v>553</v>
      </c>
      <c r="AA554" s="28">
        <v>1</v>
      </c>
      <c r="AB554" s="28">
        <v>1</v>
      </c>
      <c r="AC554" s="29">
        <v>1</v>
      </c>
      <c r="AD554" s="30">
        <v>12810</v>
      </c>
      <c r="BA554">
        <v>553</v>
      </c>
      <c r="BB554" s="28">
        <v>1</v>
      </c>
      <c r="BC554" s="28">
        <v>0</v>
      </c>
      <c r="BD554" s="29">
        <v>0.99</v>
      </c>
      <c r="BE554" s="30">
        <v>16730</v>
      </c>
    </row>
    <row r="555" spans="26:57">
      <c r="Z555" s="20">
        <v>554</v>
      </c>
      <c r="AA555" s="28">
        <v>1</v>
      </c>
      <c r="AB555" s="28">
        <v>1</v>
      </c>
      <c r="AC555" s="29">
        <v>1</v>
      </c>
      <c r="AD555" s="30">
        <v>12850</v>
      </c>
      <c r="BA555">
        <v>554</v>
      </c>
      <c r="BB555" s="28">
        <v>1</v>
      </c>
      <c r="BC555" s="28">
        <v>0</v>
      </c>
      <c r="BD555" s="29">
        <v>0.99</v>
      </c>
      <c r="BE555" s="30">
        <v>17130</v>
      </c>
    </row>
    <row r="556" spans="26:57">
      <c r="Z556" s="20">
        <v>555</v>
      </c>
      <c r="AA556" s="28">
        <v>1</v>
      </c>
      <c r="AB556" s="28">
        <v>1</v>
      </c>
      <c r="AC556" s="29">
        <v>1</v>
      </c>
      <c r="AD556" s="30">
        <v>11210</v>
      </c>
      <c r="BA556">
        <v>555</v>
      </c>
      <c r="BB556" s="28">
        <v>1</v>
      </c>
      <c r="BC556" s="28">
        <v>0</v>
      </c>
      <c r="BD556" s="29">
        <v>0.98</v>
      </c>
      <c r="BE556" s="30">
        <v>16830</v>
      </c>
    </row>
    <row r="557" spans="26:57">
      <c r="Z557" s="20">
        <v>556</v>
      </c>
      <c r="AA557" s="28">
        <v>1</v>
      </c>
      <c r="AB557" s="28">
        <v>1</v>
      </c>
      <c r="AC557" s="29">
        <v>1</v>
      </c>
      <c r="AD557" s="30">
        <v>12120</v>
      </c>
      <c r="BA557">
        <v>556</v>
      </c>
      <c r="BB557" s="28">
        <v>1</v>
      </c>
      <c r="BC557" s="28">
        <v>1</v>
      </c>
      <c r="BD557" s="29">
        <v>1</v>
      </c>
      <c r="BE557" s="30">
        <v>15280</v>
      </c>
    </row>
    <row r="558" spans="26:57">
      <c r="Z558" s="20">
        <v>557</v>
      </c>
      <c r="AA558" s="28">
        <v>1</v>
      </c>
      <c r="AB558" s="28">
        <v>1</v>
      </c>
      <c r="AC558" s="29">
        <v>1</v>
      </c>
      <c r="AD558" s="30">
        <v>14880</v>
      </c>
      <c r="BA558">
        <v>557</v>
      </c>
      <c r="BB558" s="28">
        <v>1</v>
      </c>
      <c r="BC558" s="28">
        <v>0</v>
      </c>
      <c r="BD558" s="29">
        <v>0.99</v>
      </c>
      <c r="BE558" s="30">
        <v>17700</v>
      </c>
    </row>
    <row r="559" spans="26:57">
      <c r="Z559" s="20">
        <v>558</v>
      </c>
      <c r="AA559" s="28">
        <v>1</v>
      </c>
      <c r="AB559" s="28">
        <v>1</v>
      </c>
      <c r="AC559" s="29">
        <v>1</v>
      </c>
      <c r="AD559" s="30">
        <v>12710</v>
      </c>
      <c r="BA559">
        <v>558</v>
      </c>
      <c r="BB559" s="28">
        <v>1</v>
      </c>
      <c r="BC559" s="28">
        <v>1</v>
      </c>
      <c r="BD559" s="29">
        <v>1</v>
      </c>
      <c r="BE559" s="30">
        <v>18710</v>
      </c>
    </row>
    <row r="560" spans="26:57">
      <c r="Z560" s="20">
        <v>559</v>
      </c>
      <c r="AA560" s="28">
        <v>1</v>
      </c>
      <c r="AB560" s="28">
        <v>1</v>
      </c>
      <c r="AC560" s="29">
        <v>1</v>
      </c>
      <c r="AD560" s="30">
        <v>12240</v>
      </c>
      <c r="BA560">
        <v>559</v>
      </c>
      <c r="BB560" s="28">
        <v>1</v>
      </c>
      <c r="BC560" s="28">
        <v>0</v>
      </c>
      <c r="BD560" s="29">
        <v>0.99</v>
      </c>
      <c r="BE560" s="30">
        <v>19880</v>
      </c>
    </row>
    <row r="561" spans="26:57">
      <c r="Z561" s="20">
        <v>560</v>
      </c>
      <c r="AA561" s="28">
        <v>1</v>
      </c>
      <c r="AB561" s="28">
        <v>1</v>
      </c>
      <c r="AC561" s="29">
        <v>1</v>
      </c>
      <c r="AD561" s="30">
        <v>11900</v>
      </c>
      <c r="BA561">
        <v>560</v>
      </c>
      <c r="BB561" s="28">
        <v>1</v>
      </c>
      <c r="BC561" s="28">
        <v>1</v>
      </c>
      <c r="BD561" s="29">
        <v>1</v>
      </c>
      <c r="BE561" s="30">
        <v>17020</v>
      </c>
    </row>
    <row r="562" spans="26:57">
      <c r="Z562" s="20">
        <v>561</v>
      </c>
      <c r="AA562" s="28">
        <v>1</v>
      </c>
      <c r="AB562" s="28">
        <v>1</v>
      </c>
      <c r="AC562" s="29">
        <v>1</v>
      </c>
      <c r="AD562" s="30">
        <v>12870</v>
      </c>
      <c r="BA562">
        <v>561</v>
      </c>
      <c r="BB562" s="28">
        <v>1</v>
      </c>
      <c r="BC562" s="28">
        <v>0</v>
      </c>
      <c r="BD562" s="29">
        <v>0.99</v>
      </c>
      <c r="BE562" s="30">
        <v>16840</v>
      </c>
    </row>
    <row r="563" spans="26:57">
      <c r="Z563" s="20">
        <v>562</v>
      </c>
      <c r="AA563" s="28">
        <v>1</v>
      </c>
      <c r="AB563" s="28">
        <v>1</v>
      </c>
      <c r="AC563" s="29">
        <v>1</v>
      </c>
      <c r="AD563" s="30">
        <v>11040</v>
      </c>
      <c r="BA563">
        <v>562</v>
      </c>
      <c r="BB563" s="28">
        <v>1</v>
      </c>
      <c r="BC563" s="28">
        <v>1</v>
      </c>
      <c r="BD563" s="29">
        <v>1</v>
      </c>
      <c r="BE563" s="30">
        <v>17520</v>
      </c>
    </row>
    <row r="564" spans="26:57">
      <c r="Z564" s="20">
        <v>563</v>
      </c>
      <c r="AA564" s="28">
        <v>1</v>
      </c>
      <c r="AB564" s="28">
        <v>1</v>
      </c>
      <c r="AC564" s="29">
        <v>1</v>
      </c>
      <c r="AD564" s="30">
        <v>13540</v>
      </c>
      <c r="BA564">
        <v>563</v>
      </c>
      <c r="BB564" s="28">
        <v>1</v>
      </c>
      <c r="BC564" s="28">
        <v>1</v>
      </c>
      <c r="BD564" s="29">
        <v>1</v>
      </c>
      <c r="BE564" s="30">
        <v>18000</v>
      </c>
    </row>
    <row r="565" spans="26:57">
      <c r="Z565" s="20">
        <v>564</v>
      </c>
      <c r="AA565" s="28">
        <v>1</v>
      </c>
      <c r="AB565" s="28">
        <v>1</v>
      </c>
      <c r="AC565" s="29">
        <v>1</v>
      </c>
      <c r="AD565" s="30">
        <v>13150</v>
      </c>
      <c r="BA565">
        <v>564</v>
      </c>
      <c r="BB565" s="28">
        <v>1</v>
      </c>
      <c r="BC565" s="28">
        <v>1</v>
      </c>
      <c r="BD565" s="29">
        <v>1</v>
      </c>
      <c r="BE565" s="30">
        <v>16300</v>
      </c>
    </row>
    <row r="566" spans="26:57">
      <c r="Z566" s="20">
        <v>565</v>
      </c>
      <c r="AA566" s="28">
        <v>1</v>
      </c>
      <c r="AB566" s="28">
        <v>1</v>
      </c>
      <c r="AC566" s="29">
        <v>1</v>
      </c>
      <c r="AD566" s="30">
        <v>12390</v>
      </c>
      <c r="BA566">
        <v>565</v>
      </c>
      <c r="BB566" s="28">
        <v>1</v>
      </c>
      <c r="BC566" s="28">
        <v>1</v>
      </c>
      <c r="BD566" s="29">
        <v>1</v>
      </c>
      <c r="BE566" s="30">
        <v>16370</v>
      </c>
    </row>
    <row r="567" spans="26:57">
      <c r="Z567" s="20">
        <v>566</v>
      </c>
      <c r="AA567" s="28">
        <v>1</v>
      </c>
      <c r="AB567" s="28">
        <v>1</v>
      </c>
      <c r="AC567" s="29">
        <v>1</v>
      </c>
      <c r="AD567" s="30">
        <v>14670</v>
      </c>
      <c r="BA567">
        <v>566</v>
      </c>
      <c r="BB567" s="28">
        <v>1</v>
      </c>
      <c r="BC567" s="28">
        <v>0</v>
      </c>
      <c r="BD567" s="29">
        <v>0.97</v>
      </c>
      <c r="BE567" s="30">
        <v>18000</v>
      </c>
    </row>
    <row r="568" spans="26:57">
      <c r="Z568" s="20">
        <v>567</v>
      </c>
      <c r="AA568" s="28">
        <v>1</v>
      </c>
      <c r="AB568" s="28">
        <v>1</v>
      </c>
      <c r="AC568" s="29">
        <v>1</v>
      </c>
      <c r="AD568" s="30">
        <v>12540</v>
      </c>
      <c r="BA568">
        <v>567</v>
      </c>
      <c r="BB568" s="28">
        <v>1</v>
      </c>
      <c r="BC568" s="28">
        <v>0</v>
      </c>
      <c r="BD568" s="29">
        <v>0.98</v>
      </c>
      <c r="BE568" s="30">
        <v>17020</v>
      </c>
    </row>
    <row r="569" spans="26:57">
      <c r="Z569" s="20">
        <v>568</v>
      </c>
      <c r="AA569" s="28">
        <v>1</v>
      </c>
      <c r="AB569" s="28">
        <v>1</v>
      </c>
      <c r="AC569" s="29">
        <v>1</v>
      </c>
      <c r="AD569" s="30">
        <v>13830</v>
      </c>
      <c r="BA569">
        <v>568</v>
      </c>
      <c r="BB569" s="28">
        <v>1</v>
      </c>
      <c r="BC569" s="28">
        <v>1</v>
      </c>
      <c r="BD569" s="29">
        <v>1</v>
      </c>
      <c r="BE569" s="30">
        <v>16060</v>
      </c>
    </row>
    <row r="570" spans="26:57">
      <c r="Z570" s="20">
        <v>569</v>
      </c>
      <c r="AA570" s="28">
        <v>1</v>
      </c>
      <c r="AB570" s="28">
        <v>1</v>
      </c>
      <c r="AC570" s="29">
        <v>1</v>
      </c>
      <c r="AD570" s="30">
        <v>12870</v>
      </c>
      <c r="BA570">
        <v>569</v>
      </c>
      <c r="BB570" s="28">
        <v>1</v>
      </c>
      <c r="BC570" s="28">
        <v>0</v>
      </c>
      <c r="BD570" s="29">
        <v>0.99</v>
      </c>
      <c r="BE570" s="30">
        <v>18760</v>
      </c>
    </row>
    <row r="571" spans="26:57">
      <c r="Z571" s="20">
        <v>570</v>
      </c>
      <c r="AA571" s="28">
        <v>1</v>
      </c>
      <c r="AB571" s="28">
        <v>1</v>
      </c>
      <c r="AC571" s="29">
        <v>1</v>
      </c>
      <c r="AD571" s="30">
        <v>12520</v>
      </c>
      <c r="BA571">
        <v>570</v>
      </c>
      <c r="BB571" s="28">
        <v>1</v>
      </c>
      <c r="BC571" s="28">
        <v>1</v>
      </c>
      <c r="BD571" s="29">
        <v>1</v>
      </c>
      <c r="BE571" s="30">
        <v>14770</v>
      </c>
    </row>
    <row r="572" spans="26:57">
      <c r="Z572" s="20">
        <v>571</v>
      </c>
      <c r="AA572" s="28">
        <v>1</v>
      </c>
      <c r="AB572" s="28">
        <v>1</v>
      </c>
      <c r="AC572" s="29">
        <v>1</v>
      </c>
      <c r="AD572" s="30">
        <v>11960</v>
      </c>
      <c r="BA572">
        <v>571</v>
      </c>
      <c r="BB572" s="28">
        <v>1</v>
      </c>
      <c r="BC572" s="28">
        <v>0</v>
      </c>
      <c r="BD572" s="29">
        <v>0.98</v>
      </c>
      <c r="BE572" s="30">
        <v>16160</v>
      </c>
    </row>
    <row r="573" spans="26:57">
      <c r="Z573" s="20">
        <v>572</v>
      </c>
      <c r="AA573" s="28">
        <v>1</v>
      </c>
      <c r="AB573" s="28">
        <v>1</v>
      </c>
      <c r="AC573" s="29">
        <v>1</v>
      </c>
      <c r="AD573" s="30">
        <v>12250</v>
      </c>
      <c r="BA573">
        <v>572</v>
      </c>
      <c r="BB573" s="28">
        <v>1</v>
      </c>
      <c r="BC573" s="28">
        <v>1</v>
      </c>
      <c r="BD573" s="29">
        <v>1</v>
      </c>
      <c r="BE573" s="30">
        <v>14890</v>
      </c>
    </row>
    <row r="574" spans="26:57">
      <c r="Z574" s="20">
        <v>573</v>
      </c>
      <c r="AA574" s="28">
        <v>1</v>
      </c>
      <c r="AB574" s="28">
        <v>1</v>
      </c>
      <c r="AC574" s="29">
        <v>1</v>
      </c>
      <c r="AD574" s="30">
        <v>12140</v>
      </c>
      <c r="BA574">
        <v>573</v>
      </c>
      <c r="BB574" s="28">
        <v>1</v>
      </c>
      <c r="BC574" s="28">
        <v>0</v>
      </c>
      <c r="BD574" s="29">
        <v>0.99</v>
      </c>
      <c r="BE574" s="30">
        <v>18020</v>
      </c>
    </row>
    <row r="575" spans="26:57">
      <c r="Z575" s="20">
        <v>574</v>
      </c>
      <c r="AA575" s="28">
        <v>1</v>
      </c>
      <c r="AB575" s="28">
        <v>1</v>
      </c>
      <c r="AC575" s="29">
        <v>1</v>
      </c>
      <c r="AD575" s="30">
        <v>11990</v>
      </c>
      <c r="BA575">
        <v>574</v>
      </c>
      <c r="BB575" s="28">
        <v>1</v>
      </c>
      <c r="BC575" s="28">
        <v>0</v>
      </c>
      <c r="BD575" s="29">
        <v>0.99</v>
      </c>
      <c r="BE575" s="30">
        <v>16990</v>
      </c>
    </row>
    <row r="576" spans="26:57">
      <c r="Z576" s="20">
        <v>575</v>
      </c>
      <c r="AA576" s="28">
        <v>1</v>
      </c>
      <c r="AB576" s="28">
        <v>1</v>
      </c>
      <c r="AC576" s="29">
        <v>1</v>
      </c>
      <c r="AD576" s="30">
        <v>12010</v>
      </c>
      <c r="BA576">
        <v>575</v>
      </c>
      <c r="BB576" s="28">
        <v>1</v>
      </c>
      <c r="BC576" s="28">
        <v>1</v>
      </c>
      <c r="BD576" s="29">
        <v>1</v>
      </c>
      <c r="BE576" s="30">
        <v>16130</v>
      </c>
    </row>
    <row r="577" spans="26:57">
      <c r="Z577" s="20">
        <v>576</v>
      </c>
      <c r="AA577" s="28">
        <v>1</v>
      </c>
      <c r="AB577" s="28">
        <v>1</v>
      </c>
      <c r="AC577" s="29">
        <v>1</v>
      </c>
      <c r="AD577" s="30">
        <v>13240</v>
      </c>
      <c r="BA577">
        <v>576</v>
      </c>
      <c r="BB577" s="28">
        <v>1</v>
      </c>
      <c r="BC577" s="28">
        <v>0</v>
      </c>
      <c r="BD577" s="29">
        <v>0.99</v>
      </c>
      <c r="BE577" s="30">
        <v>17860</v>
      </c>
    </row>
    <row r="578" spans="26:57">
      <c r="Z578" s="20">
        <v>577</v>
      </c>
      <c r="AA578" s="28">
        <v>1</v>
      </c>
      <c r="AB578" s="28">
        <v>1</v>
      </c>
      <c r="AC578" s="29">
        <v>1</v>
      </c>
      <c r="AD578" s="30">
        <v>11920</v>
      </c>
      <c r="BA578">
        <v>577</v>
      </c>
      <c r="BB578" s="28">
        <v>1</v>
      </c>
      <c r="BC578" s="28">
        <v>0</v>
      </c>
      <c r="BD578" s="29">
        <v>0.98</v>
      </c>
      <c r="BE578" s="30">
        <v>20000</v>
      </c>
    </row>
    <row r="579" spans="26:57">
      <c r="Z579" s="20">
        <v>578</v>
      </c>
      <c r="AA579" s="28">
        <v>1</v>
      </c>
      <c r="AB579" s="28">
        <v>1</v>
      </c>
      <c r="AC579" s="29">
        <v>1</v>
      </c>
      <c r="AD579" s="30">
        <v>11860</v>
      </c>
      <c r="BA579">
        <v>578</v>
      </c>
      <c r="BB579" s="28">
        <v>1</v>
      </c>
      <c r="BC579" s="28">
        <v>1</v>
      </c>
      <c r="BD579" s="29">
        <v>1</v>
      </c>
      <c r="BE579" s="30">
        <v>17150</v>
      </c>
    </row>
    <row r="580" spans="26:57">
      <c r="Z580" s="20">
        <v>579</v>
      </c>
      <c r="AA580" s="28">
        <v>1</v>
      </c>
      <c r="AB580" s="28">
        <v>1</v>
      </c>
      <c r="AC580" s="29">
        <v>1</v>
      </c>
      <c r="AD580" s="30">
        <v>10820</v>
      </c>
      <c r="BA580">
        <v>579</v>
      </c>
      <c r="BB580" s="28">
        <v>1</v>
      </c>
      <c r="BC580" s="28">
        <v>1</v>
      </c>
      <c r="BD580" s="29">
        <v>1</v>
      </c>
      <c r="BE580" s="30">
        <v>15210</v>
      </c>
    </row>
    <row r="581" spans="26:57">
      <c r="Z581" s="20">
        <v>580</v>
      </c>
      <c r="AA581" s="28">
        <v>1</v>
      </c>
      <c r="AB581" s="28">
        <v>1</v>
      </c>
      <c r="AC581" s="29">
        <v>1</v>
      </c>
      <c r="AD581" s="30">
        <v>12460</v>
      </c>
      <c r="BA581">
        <v>580</v>
      </c>
      <c r="BB581" s="28">
        <v>1</v>
      </c>
      <c r="BC581" s="28">
        <v>1</v>
      </c>
      <c r="BD581" s="29">
        <v>1</v>
      </c>
      <c r="BE581" s="30">
        <v>16300</v>
      </c>
    </row>
    <row r="582" spans="26:57">
      <c r="Z582" s="20">
        <v>581</v>
      </c>
      <c r="AA582" s="28">
        <v>1</v>
      </c>
      <c r="AB582" s="28">
        <v>1</v>
      </c>
      <c r="AC582" s="29">
        <v>1</v>
      </c>
      <c r="AD582" s="30">
        <v>12690</v>
      </c>
      <c r="BA582">
        <v>581</v>
      </c>
      <c r="BB582" s="28">
        <v>1</v>
      </c>
      <c r="BC582" s="28">
        <v>0</v>
      </c>
      <c r="BD582" s="29">
        <v>0.99</v>
      </c>
      <c r="BE582" s="30">
        <v>17610</v>
      </c>
    </row>
    <row r="583" spans="26:57">
      <c r="Z583" s="20">
        <v>582</v>
      </c>
      <c r="AA583" s="28">
        <v>1</v>
      </c>
      <c r="AB583" s="28">
        <v>1</v>
      </c>
      <c r="AC583" s="29">
        <v>1</v>
      </c>
      <c r="AD583" s="30">
        <v>11280</v>
      </c>
      <c r="BA583">
        <v>582</v>
      </c>
      <c r="BB583" s="28">
        <v>1</v>
      </c>
      <c r="BC583" s="28">
        <v>1</v>
      </c>
      <c r="BD583" s="29">
        <v>1</v>
      </c>
      <c r="BE583" s="30">
        <v>15150</v>
      </c>
    </row>
    <row r="584" spans="26:57">
      <c r="Z584" s="20">
        <v>583</v>
      </c>
      <c r="AA584" s="28">
        <v>1</v>
      </c>
      <c r="AB584" s="28">
        <v>1</v>
      </c>
      <c r="AC584" s="29">
        <v>1</v>
      </c>
      <c r="AD584" s="30">
        <v>12310</v>
      </c>
      <c r="BA584">
        <v>583</v>
      </c>
      <c r="BB584" s="28">
        <v>1</v>
      </c>
      <c r="BC584" s="28">
        <v>1</v>
      </c>
      <c r="BD584" s="29">
        <v>1</v>
      </c>
      <c r="BE584" s="30">
        <v>18160</v>
      </c>
    </row>
    <row r="585" spans="26:57">
      <c r="Z585" s="20">
        <v>584</v>
      </c>
      <c r="AA585" s="28">
        <v>1</v>
      </c>
      <c r="AB585" s="28">
        <v>1</v>
      </c>
      <c r="AC585" s="29">
        <v>1</v>
      </c>
      <c r="AD585" s="30">
        <v>11870</v>
      </c>
      <c r="BA585">
        <v>584</v>
      </c>
      <c r="BB585" s="28">
        <v>1</v>
      </c>
      <c r="BC585" s="28">
        <v>1</v>
      </c>
      <c r="BD585" s="29">
        <v>1</v>
      </c>
      <c r="BE585" s="30">
        <v>16710</v>
      </c>
    </row>
    <row r="586" spans="26:57">
      <c r="Z586" s="20">
        <v>585</v>
      </c>
      <c r="AA586" s="28">
        <v>1</v>
      </c>
      <c r="AB586" s="28">
        <v>1</v>
      </c>
      <c r="AC586" s="29">
        <v>1</v>
      </c>
      <c r="AD586" s="30">
        <v>12470</v>
      </c>
      <c r="BA586">
        <v>585</v>
      </c>
      <c r="BB586" s="28">
        <v>1</v>
      </c>
      <c r="BC586" s="28">
        <v>1</v>
      </c>
      <c r="BD586" s="29">
        <v>1</v>
      </c>
      <c r="BE586" s="30">
        <v>15060</v>
      </c>
    </row>
    <row r="587" spans="26:57">
      <c r="Z587" s="20">
        <v>586</v>
      </c>
      <c r="AA587" s="28">
        <v>1</v>
      </c>
      <c r="AB587" s="28">
        <v>1</v>
      </c>
      <c r="AC587" s="29">
        <v>1</v>
      </c>
      <c r="AD587" s="30">
        <v>13410</v>
      </c>
      <c r="BA587">
        <v>586</v>
      </c>
      <c r="BB587" s="28">
        <v>1</v>
      </c>
      <c r="BC587" s="28">
        <v>0</v>
      </c>
      <c r="BD587" s="29">
        <v>0.99</v>
      </c>
      <c r="BE587" s="30">
        <v>16260</v>
      </c>
    </row>
    <row r="588" spans="26:57">
      <c r="Z588" s="20">
        <v>587</v>
      </c>
      <c r="AA588" s="28">
        <v>1</v>
      </c>
      <c r="AB588" s="28">
        <v>1</v>
      </c>
      <c r="AC588" s="29">
        <v>1</v>
      </c>
      <c r="AD588" s="30">
        <v>12170</v>
      </c>
      <c r="BA588">
        <v>587</v>
      </c>
      <c r="BB588" s="28">
        <v>1</v>
      </c>
      <c r="BC588" s="28">
        <v>0</v>
      </c>
      <c r="BD588" s="29">
        <v>0.97</v>
      </c>
      <c r="BE588" s="30">
        <v>19140</v>
      </c>
    </row>
    <row r="589" spans="26:57">
      <c r="Z589" s="20">
        <v>588</v>
      </c>
      <c r="AA589" s="28">
        <v>1</v>
      </c>
      <c r="AB589" s="28">
        <v>1</v>
      </c>
      <c r="AC589" s="29">
        <v>1</v>
      </c>
      <c r="AD589" s="30">
        <v>10590</v>
      </c>
      <c r="BA589">
        <v>588</v>
      </c>
      <c r="BB589" s="28">
        <v>1</v>
      </c>
      <c r="BC589" s="28">
        <v>1</v>
      </c>
      <c r="BD589" s="29">
        <v>1</v>
      </c>
      <c r="BE589" s="30">
        <v>15880</v>
      </c>
    </row>
    <row r="590" spans="26:57">
      <c r="Z590" s="20">
        <v>589</v>
      </c>
      <c r="AA590" s="28">
        <v>1</v>
      </c>
      <c r="AB590" s="28">
        <v>1</v>
      </c>
      <c r="AC590" s="29">
        <v>1</v>
      </c>
      <c r="AD590" s="30">
        <v>12780</v>
      </c>
      <c r="BA590">
        <v>589</v>
      </c>
      <c r="BB590" s="28">
        <v>1</v>
      </c>
      <c r="BC590" s="28">
        <v>0</v>
      </c>
      <c r="BD590" s="29">
        <v>0.99</v>
      </c>
      <c r="BE590" s="30">
        <v>18500</v>
      </c>
    </row>
    <row r="591" spans="26:57">
      <c r="Z591" s="20">
        <v>590</v>
      </c>
      <c r="AA591" s="28">
        <v>1</v>
      </c>
      <c r="AB591" s="28">
        <v>1</v>
      </c>
      <c r="AC591" s="29">
        <v>1</v>
      </c>
      <c r="AD591" s="30">
        <v>12300</v>
      </c>
      <c r="BA591">
        <v>590</v>
      </c>
      <c r="BB591" s="28">
        <v>1</v>
      </c>
      <c r="BC591" s="28">
        <v>1</v>
      </c>
      <c r="BD591" s="29">
        <v>1</v>
      </c>
      <c r="BE591" s="30">
        <v>14990</v>
      </c>
    </row>
    <row r="592" spans="26:57">
      <c r="Z592" s="20">
        <v>591</v>
      </c>
      <c r="AA592" s="28">
        <v>1</v>
      </c>
      <c r="AB592" s="28">
        <v>1</v>
      </c>
      <c r="AC592" s="29">
        <v>1</v>
      </c>
      <c r="AD592" s="30">
        <v>12910</v>
      </c>
      <c r="BA592">
        <v>591</v>
      </c>
      <c r="BB592" s="28">
        <v>1</v>
      </c>
      <c r="BC592" s="28">
        <v>1</v>
      </c>
      <c r="BD592" s="29">
        <v>1</v>
      </c>
      <c r="BE592" s="30">
        <v>16900</v>
      </c>
    </row>
    <row r="593" spans="26:57">
      <c r="Z593" s="20">
        <v>592</v>
      </c>
      <c r="AA593" s="28">
        <v>1</v>
      </c>
      <c r="AB593" s="28">
        <v>1</v>
      </c>
      <c r="AC593" s="29">
        <v>1</v>
      </c>
      <c r="AD593" s="30">
        <v>11970</v>
      </c>
      <c r="BA593">
        <v>592</v>
      </c>
      <c r="BB593" s="28">
        <v>1</v>
      </c>
      <c r="BC593" s="28">
        <v>1</v>
      </c>
      <c r="BD593" s="29">
        <v>1</v>
      </c>
      <c r="BE593" s="30">
        <v>15920</v>
      </c>
    </row>
    <row r="594" spans="26:57">
      <c r="Z594" s="20">
        <v>593</v>
      </c>
      <c r="AA594" s="28">
        <v>1</v>
      </c>
      <c r="AB594" s="28">
        <v>1</v>
      </c>
      <c r="AC594" s="29">
        <v>1</v>
      </c>
      <c r="AD594" s="30">
        <v>11510</v>
      </c>
      <c r="BA594">
        <v>593</v>
      </c>
      <c r="BB594" s="28">
        <v>1</v>
      </c>
      <c r="BC594" s="28">
        <v>0</v>
      </c>
      <c r="BD594" s="29">
        <v>0.99</v>
      </c>
      <c r="BE594" s="30">
        <v>15430</v>
      </c>
    </row>
    <row r="595" spans="26:57">
      <c r="Z595" s="20">
        <v>594</v>
      </c>
      <c r="AA595" s="28">
        <v>1</v>
      </c>
      <c r="AB595" s="28">
        <v>1</v>
      </c>
      <c r="AC595" s="29">
        <v>1</v>
      </c>
      <c r="AD595" s="30">
        <v>13080</v>
      </c>
      <c r="BA595">
        <v>594</v>
      </c>
      <c r="BB595" s="28">
        <v>1</v>
      </c>
      <c r="BC595" s="28">
        <v>0</v>
      </c>
      <c r="BD595" s="29">
        <v>0.99</v>
      </c>
      <c r="BE595" s="30">
        <v>15030</v>
      </c>
    </row>
    <row r="596" spans="26:57">
      <c r="Z596" s="20">
        <v>595</v>
      </c>
      <c r="AA596" s="28">
        <v>1</v>
      </c>
      <c r="AB596" s="28">
        <v>1</v>
      </c>
      <c r="AC596" s="29">
        <v>1</v>
      </c>
      <c r="AD596" s="30">
        <v>12950</v>
      </c>
      <c r="BA596">
        <v>595</v>
      </c>
      <c r="BB596" s="28">
        <v>1</v>
      </c>
      <c r="BC596" s="28">
        <v>0</v>
      </c>
      <c r="BD596" s="29">
        <v>0.98</v>
      </c>
      <c r="BE596" s="30">
        <v>16740</v>
      </c>
    </row>
    <row r="597" spans="26:57">
      <c r="Z597" s="20">
        <v>596</v>
      </c>
      <c r="AA597" s="28">
        <v>1</v>
      </c>
      <c r="AB597" s="28">
        <v>1</v>
      </c>
      <c r="AC597" s="29">
        <v>1</v>
      </c>
      <c r="AD597" s="30">
        <v>12890</v>
      </c>
      <c r="BA597">
        <v>596</v>
      </c>
      <c r="BB597" s="28">
        <v>1</v>
      </c>
      <c r="BC597" s="28">
        <v>1</v>
      </c>
      <c r="BD597" s="29">
        <v>1</v>
      </c>
      <c r="BE597" s="30">
        <v>18070</v>
      </c>
    </row>
    <row r="598" spans="26:57">
      <c r="Z598" s="20">
        <v>597</v>
      </c>
      <c r="AA598" s="28">
        <v>1</v>
      </c>
      <c r="AB598" s="28">
        <v>1</v>
      </c>
      <c r="AC598" s="29">
        <v>1</v>
      </c>
      <c r="AD598" s="30">
        <v>10910</v>
      </c>
      <c r="BA598">
        <v>597</v>
      </c>
      <c r="BB598" s="28">
        <v>1</v>
      </c>
      <c r="BC598" s="28">
        <v>1</v>
      </c>
      <c r="BD598" s="29">
        <v>1</v>
      </c>
      <c r="BE598" s="30">
        <v>16640</v>
      </c>
    </row>
    <row r="599" spans="26:57">
      <c r="Z599" s="20">
        <v>598</v>
      </c>
      <c r="AA599" s="28">
        <v>1</v>
      </c>
      <c r="AB599" s="28">
        <v>1</v>
      </c>
      <c r="AC599" s="29">
        <v>1</v>
      </c>
      <c r="AD599" s="30">
        <v>11820</v>
      </c>
      <c r="BA599">
        <v>598</v>
      </c>
      <c r="BB599" s="28">
        <v>1</v>
      </c>
      <c r="BC599" s="28">
        <v>1</v>
      </c>
      <c r="BD599" s="29">
        <v>1</v>
      </c>
      <c r="BE599" s="30">
        <v>15880</v>
      </c>
    </row>
    <row r="600" spans="26:57">
      <c r="Z600" s="20">
        <v>599</v>
      </c>
      <c r="AA600" s="28">
        <v>1</v>
      </c>
      <c r="AB600" s="28">
        <v>1</v>
      </c>
      <c r="AC600" s="29">
        <v>1</v>
      </c>
      <c r="AD600" s="30">
        <v>14510</v>
      </c>
      <c r="BA600">
        <v>599</v>
      </c>
      <c r="BB600" s="28">
        <v>1</v>
      </c>
      <c r="BC600" s="28">
        <v>1</v>
      </c>
      <c r="BD600" s="29">
        <v>1</v>
      </c>
      <c r="BE600" s="30">
        <v>14080</v>
      </c>
    </row>
    <row r="601" spans="26:57">
      <c r="Z601" s="20">
        <v>600</v>
      </c>
      <c r="AA601" s="28">
        <v>1</v>
      </c>
      <c r="AB601" s="28">
        <v>1</v>
      </c>
      <c r="AC601" s="29">
        <v>1</v>
      </c>
      <c r="AD601" s="30">
        <v>13220</v>
      </c>
      <c r="BA601">
        <v>600</v>
      </c>
      <c r="BB601" s="28">
        <v>1</v>
      </c>
      <c r="BC601" s="28">
        <v>1</v>
      </c>
      <c r="BD601" s="29">
        <v>1</v>
      </c>
      <c r="BE601" s="30">
        <v>16260</v>
      </c>
    </row>
    <row r="602" spans="26:57">
      <c r="Z602" s="20">
        <v>601</v>
      </c>
      <c r="AA602" s="28">
        <v>1</v>
      </c>
      <c r="AB602" s="28">
        <v>1</v>
      </c>
      <c r="AC602" s="29">
        <v>1</v>
      </c>
      <c r="AD602" s="30">
        <v>11650</v>
      </c>
      <c r="BA602">
        <v>601</v>
      </c>
      <c r="BB602" s="28">
        <v>1</v>
      </c>
      <c r="BC602" s="28">
        <v>1</v>
      </c>
      <c r="BD602" s="29">
        <v>1</v>
      </c>
      <c r="BE602" s="30">
        <v>16960</v>
      </c>
    </row>
    <row r="603" spans="26:57">
      <c r="Z603" s="20">
        <v>602</v>
      </c>
      <c r="AA603" s="28">
        <v>1</v>
      </c>
      <c r="AB603" s="28">
        <v>1</v>
      </c>
      <c r="AC603" s="29">
        <v>1</v>
      </c>
      <c r="AD603" s="30">
        <v>11700</v>
      </c>
      <c r="BA603">
        <v>602</v>
      </c>
      <c r="BB603" s="28">
        <v>1</v>
      </c>
      <c r="BC603" s="28">
        <v>0</v>
      </c>
      <c r="BD603" s="29">
        <v>0.98</v>
      </c>
      <c r="BE603" s="30">
        <v>18380</v>
      </c>
    </row>
    <row r="604" spans="26:57">
      <c r="Z604" s="20">
        <v>603</v>
      </c>
      <c r="AA604" s="28">
        <v>1</v>
      </c>
      <c r="AB604" s="28">
        <v>1</v>
      </c>
      <c r="AC604" s="29">
        <v>1</v>
      </c>
      <c r="AD604" s="30">
        <v>12520</v>
      </c>
      <c r="BA604">
        <v>603</v>
      </c>
      <c r="BB604" s="28">
        <v>1</v>
      </c>
      <c r="BC604" s="28">
        <v>0</v>
      </c>
      <c r="BD604" s="29">
        <v>0.9</v>
      </c>
      <c r="BE604" s="30">
        <v>21540</v>
      </c>
    </row>
    <row r="605" spans="26:57">
      <c r="Z605" s="20">
        <v>604</v>
      </c>
      <c r="AA605" s="28">
        <v>1</v>
      </c>
      <c r="AB605" s="28">
        <v>1</v>
      </c>
      <c r="AC605" s="29">
        <v>1</v>
      </c>
      <c r="AD605" s="30">
        <v>12220</v>
      </c>
      <c r="BA605">
        <v>604</v>
      </c>
      <c r="BB605" s="28">
        <v>1</v>
      </c>
      <c r="BC605" s="28">
        <v>1</v>
      </c>
      <c r="BD605" s="29">
        <v>1</v>
      </c>
      <c r="BE605" s="30">
        <v>17470</v>
      </c>
    </row>
    <row r="606" spans="26:57">
      <c r="Z606" s="20">
        <v>605</v>
      </c>
      <c r="AA606" s="28">
        <v>1</v>
      </c>
      <c r="AB606" s="28">
        <v>1</v>
      </c>
      <c r="AC606" s="29">
        <v>1</v>
      </c>
      <c r="AD606" s="30">
        <v>12710</v>
      </c>
      <c r="BA606">
        <v>605</v>
      </c>
      <c r="BB606" s="28">
        <v>1</v>
      </c>
      <c r="BC606" s="28">
        <v>1</v>
      </c>
      <c r="BD606" s="29">
        <v>1</v>
      </c>
      <c r="BE606" s="30">
        <v>15700</v>
      </c>
    </row>
    <row r="607" spans="26:57">
      <c r="Z607" s="20">
        <v>606</v>
      </c>
      <c r="AA607" s="28">
        <v>1</v>
      </c>
      <c r="AB607" s="28">
        <v>1</v>
      </c>
      <c r="AC607" s="29">
        <v>1</v>
      </c>
      <c r="AD607" s="30">
        <v>12630</v>
      </c>
      <c r="BA607">
        <v>606</v>
      </c>
      <c r="BB607" s="28">
        <v>1</v>
      </c>
      <c r="BC607" s="28">
        <v>0</v>
      </c>
      <c r="BD607" s="29">
        <v>0.99</v>
      </c>
      <c r="BE607" s="30">
        <v>20300</v>
      </c>
    </row>
    <row r="608" spans="26:57">
      <c r="Z608" s="20">
        <v>607</v>
      </c>
      <c r="AA608" s="28">
        <v>1</v>
      </c>
      <c r="AB608" s="28">
        <v>1</v>
      </c>
      <c r="AC608" s="29">
        <v>1</v>
      </c>
      <c r="AD608" s="30">
        <v>11670</v>
      </c>
      <c r="BA608">
        <v>607</v>
      </c>
      <c r="BB608" s="28">
        <v>1</v>
      </c>
      <c r="BC608" s="28">
        <v>0</v>
      </c>
      <c r="BD608" s="29">
        <v>0.98</v>
      </c>
      <c r="BE608" s="30">
        <v>15280</v>
      </c>
    </row>
    <row r="609" spans="26:57">
      <c r="Z609" s="20">
        <v>608</v>
      </c>
      <c r="AA609" s="28">
        <v>1</v>
      </c>
      <c r="AB609" s="28">
        <v>1</v>
      </c>
      <c r="AC609" s="29">
        <v>1</v>
      </c>
      <c r="AD609" s="30">
        <v>11890</v>
      </c>
      <c r="BA609">
        <v>608</v>
      </c>
      <c r="BB609" s="28">
        <v>1</v>
      </c>
      <c r="BC609" s="28">
        <v>0</v>
      </c>
      <c r="BD609" s="29">
        <v>0.98</v>
      </c>
      <c r="BE609" s="30">
        <v>19180</v>
      </c>
    </row>
    <row r="610" spans="26:57">
      <c r="Z610" s="20">
        <v>609</v>
      </c>
      <c r="AA610" s="28">
        <v>1</v>
      </c>
      <c r="AB610" s="28">
        <v>1</v>
      </c>
      <c r="AC610" s="29">
        <v>1</v>
      </c>
      <c r="AD610" s="30">
        <v>12560</v>
      </c>
      <c r="BA610">
        <v>609</v>
      </c>
      <c r="BB610" s="28">
        <v>1</v>
      </c>
      <c r="BC610" s="28">
        <v>0</v>
      </c>
      <c r="BD610" s="29">
        <v>0.97</v>
      </c>
      <c r="BE610" s="30">
        <v>19350</v>
      </c>
    </row>
    <row r="611" spans="26:57">
      <c r="Z611" s="20">
        <v>610</v>
      </c>
      <c r="AA611" s="28">
        <v>1</v>
      </c>
      <c r="AB611" s="28">
        <v>1</v>
      </c>
      <c r="AC611" s="29">
        <v>1</v>
      </c>
      <c r="AD611" s="30">
        <v>14400</v>
      </c>
      <c r="BA611">
        <v>610</v>
      </c>
      <c r="BB611" s="28">
        <v>1</v>
      </c>
      <c r="BC611" s="28">
        <v>0</v>
      </c>
      <c r="BD611" s="29">
        <v>0.99</v>
      </c>
      <c r="BE611" s="30">
        <v>16240</v>
      </c>
    </row>
    <row r="612" spans="26:57">
      <c r="Z612" s="20">
        <v>611</v>
      </c>
      <c r="AA612" s="28">
        <v>1</v>
      </c>
      <c r="AB612" s="28">
        <v>1</v>
      </c>
      <c r="AC612" s="29">
        <v>1</v>
      </c>
      <c r="AD612" s="30">
        <v>9960</v>
      </c>
      <c r="BA612">
        <v>611</v>
      </c>
      <c r="BB612" s="28">
        <v>1</v>
      </c>
      <c r="BC612" s="28">
        <v>1</v>
      </c>
      <c r="BD612" s="29">
        <v>1</v>
      </c>
      <c r="BE612" s="30">
        <v>16600</v>
      </c>
    </row>
    <row r="613" spans="26:57">
      <c r="Z613" s="20">
        <v>612</v>
      </c>
      <c r="AA613" s="28">
        <v>1</v>
      </c>
      <c r="AB613" s="28">
        <v>1</v>
      </c>
      <c r="AC613" s="29">
        <v>1</v>
      </c>
      <c r="AD613" s="30">
        <v>11610</v>
      </c>
      <c r="BA613">
        <v>612</v>
      </c>
      <c r="BB613" s="28">
        <v>1</v>
      </c>
      <c r="BC613" s="28">
        <v>1</v>
      </c>
      <c r="BD613" s="29">
        <v>1</v>
      </c>
      <c r="BE613" s="30">
        <v>15000</v>
      </c>
    </row>
    <row r="614" spans="26:57">
      <c r="Z614" s="20">
        <v>613</v>
      </c>
      <c r="AA614" s="28">
        <v>1</v>
      </c>
      <c r="AB614" s="28">
        <v>1</v>
      </c>
      <c r="AC614" s="29">
        <v>1</v>
      </c>
      <c r="AD614" s="30">
        <v>13850</v>
      </c>
      <c r="BA614">
        <v>613</v>
      </c>
      <c r="BB614" s="28">
        <v>1</v>
      </c>
      <c r="BC614" s="28">
        <v>1</v>
      </c>
      <c r="BD614" s="29">
        <v>1</v>
      </c>
      <c r="BE614" s="30">
        <v>15060</v>
      </c>
    </row>
    <row r="615" spans="26:57">
      <c r="Z615" s="20">
        <v>614</v>
      </c>
      <c r="AA615" s="28">
        <v>1</v>
      </c>
      <c r="AB615" s="28">
        <v>1</v>
      </c>
      <c r="AC615" s="29">
        <v>1</v>
      </c>
      <c r="AD615" s="30">
        <v>13310</v>
      </c>
      <c r="BA615">
        <v>614</v>
      </c>
      <c r="BB615" s="28">
        <v>1</v>
      </c>
      <c r="BC615" s="28">
        <v>0</v>
      </c>
      <c r="BD615" s="29">
        <v>0.99</v>
      </c>
      <c r="BE615" s="30">
        <v>18240</v>
      </c>
    </row>
    <row r="616" spans="26:57">
      <c r="Z616" s="20">
        <v>615</v>
      </c>
      <c r="AA616" s="28">
        <v>1</v>
      </c>
      <c r="AB616" s="28">
        <v>1</v>
      </c>
      <c r="AC616" s="29">
        <v>1</v>
      </c>
      <c r="AD616" s="30">
        <v>12250</v>
      </c>
      <c r="BA616">
        <v>615</v>
      </c>
      <c r="BB616" s="28">
        <v>1</v>
      </c>
      <c r="BC616" s="28">
        <v>0</v>
      </c>
      <c r="BD616" s="29">
        <v>0.99</v>
      </c>
      <c r="BE616" s="30">
        <v>18650</v>
      </c>
    </row>
    <row r="617" spans="26:57">
      <c r="Z617" s="20">
        <v>616</v>
      </c>
      <c r="AA617" s="28">
        <v>1</v>
      </c>
      <c r="AB617" s="28">
        <v>1</v>
      </c>
      <c r="AC617" s="29">
        <v>1</v>
      </c>
      <c r="AD617" s="30">
        <v>11500</v>
      </c>
      <c r="BA617">
        <v>616</v>
      </c>
      <c r="BB617" s="28">
        <v>1</v>
      </c>
      <c r="BC617" s="28">
        <v>1</v>
      </c>
      <c r="BD617" s="29">
        <v>1</v>
      </c>
      <c r="BE617" s="30">
        <v>18200</v>
      </c>
    </row>
    <row r="618" spans="26:57">
      <c r="Z618" s="20">
        <v>617</v>
      </c>
      <c r="AA618" s="28">
        <v>1</v>
      </c>
      <c r="AB618" s="28">
        <v>1</v>
      </c>
      <c r="AC618" s="29">
        <v>1</v>
      </c>
      <c r="AD618" s="30">
        <v>12600</v>
      </c>
      <c r="BA618">
        <v>617</v>
      </c>
      <c r="BB618" s="28">
        <v>1</v>
      </c>
      <c r="BC618" s="28">
        <v>1</v>
      </c>
      <c r="BD618" s="29">
        <v>1</v>
      </c>
      <c r="BE618" s="30">
        <v>15720</v>
      </c>
    </row>
    <row r="619" spans="26:57">
      <c r="Z619" s="20">
        <v>618</v>
      </c>
      <c r="AA619" s="28">
        <v>1</v>
      </c>
      <c r="AB619" s="28">
        <v>1</v>
      </c>
      <c r="AC619" s="29">
        <v>1</v>
      </c>
      <c r="AD619" s="30">
        <v>12490</v>
      </c>
      <c r="BA619">
        <v>618</v>
      </c>
      <c r="BB619" s="28">
        <v>1</v>
      </c>
      <c r="BC619" s="28">
        <v>0</v>
      </c>
      <c r="BD619" s="29">
        <v>0.99</v>
      </c>
      <c r="BE619" s="30">
        <v>18270</v>
      </c>
    </row>
    <row r="620" spans="26:57">
      <c r="Z620" s="20">
        <v>619</v>
      </c>
      <c r="AA620" s="28">
        <v>1</v>
      </c>
      <c r="AB620" s="28">
        <v>1</v>
      </c>
      <c r="AC620" s="29">
        <v>1</v>
      </c>
      <c r="AD620" s="30">
        <v>14160</v>
      </c>
      <c r="BA620">
        <v>619</v>
      </c>
      <c r="BB620" s="28">
        <v>1</v>
      </c>
      <c r="BC620" s="28">
        <v>1</v>
      </c>
      <c r="BD620" s="29">
        <v>1</v>
      </c>
      <c r="BE620" s="30">
        <v>19060</v>
      </c>
    </row>
    <row r="621" spans="26:57">
      <c r="Z621" s="20">
        <v>620</v>
      </c>
      <c r="AA621" s="28">
        <v>1</v>
      </c>
      <c r="AB621" s="28">
        <v>1</v>
      </c>
      <c r="AC621" s="29">
        <v>1</v>
      </c>
      <c r="AD621" s="30">
        <v>11480</v>
      </c>
      <c r="BA621">
        <v>620</v>
      </c>
      <c r="BB621" s="28">
        <v>1</v>
      </c>
      <c r="BC621" s="28">
        <v>1</v>
      </c>
      <c r="BD621" s="29">
        <v>1</v>
      </c>
      <c r="BE621" s="30">
        <v>17260</v>
      </c>
    </row>
    <row r="622" spans="26:57">
      <c r="Z622" s="20">
        <v>621</v>
      </c>
      <c r="AA622" s="28">
        <v>1</v>
      </c>
      <c r="AB622" s="28">
        <v>1</v>
      </c>
      <c r="AC622" s="29">
        <v>1</v>
      </c>
      <c r="AD622" s="30">
        <v>11500</v>
      </c>
      <c r="BA622">
        <v>621</v>
      </c>
      <c r="BB622" s="28">
        <v>1</v>
      </c>
      <c r="BC622" s="28">
        <v>1</v>
      </c>
      <c r="BD622" s="29">
        <v>1</v>
      </c>
      <c r="BE622" s="30">
        <v>16690</v>
      </c>
    </row>
    <row r="623" spans="26:57">
      <c r="Z623" s="20">
        <v>622</v>
      </c>
      <c r="AA623" s="28">
        <v>1</v>
      </c>
      <c r="AB623" s="28">
        <v>1</v>
      </c>
      <c r="AC623" s="29">
        <v>1</v>
      </c>
      <c r="AD623" s="30">
        <v>13210</v>
      </c>
      <c r="BA623">
        <v>622</v>
      </c>
      <c r="BB623" s="28">
        <v>1</v>
      </c>
      <c r="BC623" s="28">
        <v>0</v>
      </c>
      <c r="BD623" s="29">
        <v>0.99</v>
      </c>
      <c r="BE623" s="30">
        <v>16960</v>
      </c>
    </row>
    <row r="624" spans="26:57">
      <c r="Z624" s="20">
        <v>623</v>
      </c>
      <c r="AA624" s="28">
        <v>1</v>
      </c>
      <c r="AB624" s="28">
        <v>1</v>
      </c>
      <c r="AC624" s="29">
        <v>1</v>
      </c>
      <c r="AD624" s="30">
        <v>13340</v>
      </c>
      <c r="BA624">
        <v>623</v>
      </c>
      <c r="BB624" s="28">
        <v>1</v>
      </c>
      <c r="BC624" s="28">
        <v>0</v>
      </c>
      <c r="BD624" s="29">
        <v>0.99</v>
      </c>
      <c r="BE624" s="30">
        <v>18310</v>
      </c>
    </row>
    <row r="625" spans="26:57">
      <c r="Z625" s="20">
        <v>624</v>
      </c>
      <c r="AA625" s="28">
        <v>1</v>
      </c>
      <c r="AB625" s="28">
        <v>1</v>
      </c>
      <c r="AC625" s="29">
        <v>1</v>
      </c>
      <c r="AD625" s="30">
        <v>13100</v>
      </c>
      <c r="BA625">
        <v>624</v>
      </c>
      <c r="BB625" s="28">
        <v>1</v>
      </c>
      <c r="BC625" s="28">
        <v>0</v>
      </c>
      <c r="BD625" s="29">
        <v>0.98</v>
      </c>
      <c r="BE625" s="30">
        <v>17300</v>
      </c>
    </row>
    <row r="626" spans="26:57">
      <c r="Z626" s="20">
        <v>625</v>
      </c>
      <c r="AA626" s="28">
        <v>1</v>
      </c>
      <c r="AB626" s="28">
        <v>1</v>
      </c>
      <c r="AC626" s="29">
        <v>1</v>
      </c>
      <c r="AD626" s="30">
        <v>12560</v>
      </c>
      <c r="BA626">
        <v>625</v>
      </c>
      <c r="BB626" s="28">
        <v>1</v>
      </c>
      <c r="BC626" s="28">
        <v>1</v>
      </c>
      <c r="BD626" s="29">
        <v>1</v>
      </c>
      <c r="BE626" s="30">
        <v>17440</v>
      </c>
    </row>
    <row r="627" spans="26:57">
      <c r="Z627" s="20">
        <v>626</v>
      </c>
      <c r="AA627" s="28">
        <v>1</v>
      </c>
      <c r="AB627" s="28">
        <v>1</v>
      </c>
      <c r="AC627" s="29">
        <v>1</v>
      </c>
      <c r="AD627" s="30">
        <v>13190</v>
      </c>
      <c r="BA627">
        <v>626</v>
      </c>
      <c r="BB627" s="28">
        <v>1</v>
      </c>
      <c r="BC627" s="28">
        <v>1</v>
      </c>
      <c r="BD627" s="29">
        <v>1</v>
      </c>
      <c r="BE627" s="30">
        <v>15300</v>
      </c>
    </row>
    <row r="628" spans="26:57">
      <c r="Z628" s="20">
        <v>627</v>
      </c>
      <c r="AA628" s="28">
        <v>1</v>
      </c>
      <c r="AB628" s="28">
        <v>1</v>
      </c>
      <c r="AC628" s="29">
        <v>1</v>
      </c>
      <c r="AD628" s="30">
        <v>12820</v>
      </c>
      <c r="BA628">
        <v>627</v>
      </c>
      <c r="BB628" s="28">
        <v>1</v>
      </c>
      <c r="BC628" s="28">
        <v>1</v>
      </c>
      <c r="BD628" s="29">
        <v>1</v>
      </c>
      <c r="BE628" s="30">
        <v>16670</v>
      </c>
    </row>
    <row r="629" spans="26:57">
      <c r="Z629" s="20">
        <v>628</v>
      </c>
      <c r="AA629" s="28">
        <v>1</v>
      </c>
      <c r="AB629" s="28">
        <v>1</v>
      </c>
      <c r="AC629" s="29">
        <v>1</v>
      </c>
      <c r="AD629" s="30">
        <v>13030</v>
      </c>
      <c r="BA629">
        <v>628</v>
      </c>
      <c r="BB629" s="28">
        <v>1</v>
      </c>
      <c r="BC629" s="28">
        <v>1</v>
      </c>
      <c r="BD629" s="29">
        <v>1</v>
      </c>
      <c r="BE629" s="30">
        <v>16060</v>
      </c>
    </row>
    <row r="630" spans="26:57">
      <c r="Z630" s="20">
        <v>629</v>
      </c>
      <c r="AA630" s="28">
        <v>1</v>
      </c>
      <c r="AB630" s="28">
        <v>1</v>
      </c>
      <c r="AC630" s="29">
        <v>1</v>
      </c>
      <c r="AD630" s="30">
        <v>11720</v>
      </c>
      <c r="BA630">
        <v>629</v>
      </c>
      <c r="BB630" s="28">
        <v>1</v>
      </c>
      <c r="BC630" s="28">
        <v>0</v>
      </c>
      <c r="BD630" s="29">
        <v>0.99</v>
      </c>
      <c r="BE630" s="30">
        <v>16590</v>
      </c>
    </row>
    <row r="631" spans="26:57">
      <c r="Z631" s="20">
        <v>630</v>
      </c>
      <c r="AA631" s="28">
        <v>1</v>
      </c>
      <c r="AB631" s="28">
        <v>1</v>
      </c>
      <c r="AC631" s="29">
        <v>1</v>
      </c>
      <c r="AD631" s="30">
        <v>11900</v>
      </c>
      <c r="BA631">
        <v>630</v>
      </c>
      <c r="BB631" s="28">
        <v>1</v>
      </c>
      <c r="BC631" s="28">
        <v>1</v>
      </c>
      <c r="BD631" s="29">
        <v>1</v>
      </c>
      <c r="BE631" s="30">
        <v>18240</v>
      </c>
    </row>
    <row r="632" spans="26:57">
      <c r="Z632" s="20">
        <v>631</v>
      </c>
      <c r="AA632" s="28">
        <v>1</v>
      </c>
      <c r="AB632" s="28">
        <v>1</v>
      </c>
      <c r="AC632" s="29">
        <v>1</v>
      </c>
      <c r="AD632" s="30">
        <v>12890</v>
      </c>
      <c r="BA632">
        <v>631</v>
      </c>
      <c r="BB632" s="28">
        <v>1</v>
      </c>
      <c r="BC632" s="28">
        <v>1</v>
      </c>
      <c r="BD632" s="29">
        <v>1</v>
      </c>
      <c r="BE632" s="30">
        <v>18980</v>
      </c>
    </row>
    <row r="633" spans="26:57">
      <c r="Z633" s="20">
        <v>632</v>
      </c>
      <c r="AA633" s="28">
        <v>1</v>
      </c>
      <c r="AB633" s="28">
        <v>1</v>
      </c>
      <c r="AC633" s="29">
        <v>1</v>
      </c>
      <c r="AD633" s="30">
        <v>12910</v>
      </c>
      <c r="BA633">
        <v>632</v>
      </c>
      <c r="BB633" s="28">
        <v>1</v>
      </c>
      <c r="BC633" s="28">
        <v>0</v>
      </c>
      <c r="BD633" s="29">
        <v>0.99</v>
      </c>
      <c r="BE633" s="30">
        <v>19860</v>
      </c>
    </row>
    <row r="634" spans="26:57">
      <c r="Z634" s="20">
        <v>633</v>
      </c>
      <c r="AA634" s="28">
        <v>1</v>
      </c>
      <c r="AB634" s="28">
        <v>1</v>
      </c>
      <c r="AC634" s="29">
        <v>1</v>
      </c>
      <c r="AD634" s="30">
        <v>13660</v>
      </c>
      <c r="BA634">
        <v>633</v>
      </c>
      <c r="BB634" s="28">
        <v>1</v>
      </c>
      <c r="BC634" s="28">
        <v>1</v>
      </c>
      <c r="BD634" s="29">
        <v>1</v>
      </c>
      <c r="BE634" s="30">
        <v>16910</v>
      </c>
    </row>
    <row r="635" spans="26:57">
      <c r="Z635" s="20">
        <v>634</v>
      </c>
      <c r="AA635" s="28">
        <v>1</v>
      </c>
      <c r="AB635" s="28">
        <v>1</v>
      </c>
      <c r="AC635" s="29">
        <v>1</v>
      </c>
      <c r="AD635" s="30">
        <v>12030</v>
      </c>
      <c r="BA635">
        <v>634</v>
      </c>
      <c r="BB635" s="28">
        <v>1</v>
      </c>
      <c r="BC635" s="28">
        <v>0</v>
      </c>
      <c r="BD635" s="29">
        <v>0.98</v>
      </c>
      <c r="BE635" s="30">
        <v>17100</v>
      </c>
    </row>
    <row r="636" spans="26:57">
      <c r="Z636" s="20">
        <v>635</v>
      </c>
      <c r="AA636" s="28">
        <v>1</v>
      </c>
      <c r="AB636" s="28">
        <v>1</v>
      </c>
      <c r="AC636" s="29">
        <v>1</v>
      </c>
      <c r="AD636" s="30">
        <v>12550</v>
      </c>
      <c r="BA636">
        <v>635</v>
      </c>
      <c r="BB636" s="28">
        <v>1</v>
      </c>
      <c r="BC636" s="28">
        <v>1</v>
      </c>
      <c r="BD636" s="29">
        <v>1</v>
      </c>
      <c r="BE636" s="30">
        <v>17590</v>
      </c>
    </row>
    <row r="637" spans="26:57">
      <c r="Z637" s="20">
        <v>636</v>
      </c>
      <c r="AA637" s="28">
        <v>1</v>
      </c>
      <c r="AB637" s="28">
        <v>1</v>
      </c>
      <c r="AC637" s="29">
        <v>1</v>
      </c>
      <c r="AD637" s="30">
        <v>11830</v>
      </c>
      <c r="BA637">
        <v>636</v>
      </c>
      <c r="BB637" s="28">
        <v>1</v>
      </c>
      <c r="BC637" s="28">
        <v>1</v>
      </c>
      <c r="BD637" s="29">
        <v>1</v>
      </c>
      <c r="BE637" s="30">
        <v>15470</v>
      </c>
    </row>
    <row r="638" spans="26:57">
      <c r="Z638" s="20">
        <v>637</v>
      </c>
      <c r="AA638" s="28">
        <v>1</v>
      </c>
      <c r="AB638" s="28">
        <v>1</v>
      </c>
      <c r="AC638" s="29">
        <v>1</v>
      </c>
      <c r="AD638" s="30">
        <v>12450</v>
      </c>
      <c r="BA638">
        <v>637</v>
      </c>
      <c r="BB638" s="28">
        <v>1</v>
      </c>
      <c r="BC638" s="28">
        <v>1</v>
      </c>
      <c r="BD638" s="29">
        <v>1</v>
      </c>
      <c r="BE638" s="30">
        <v>16640</v>
      </c>
    </row>
    <row r="639" spans="26:57">
      <c r="Z639" s="20">
        <v>638</v>
      </c>
      <c r="AA639" s="28">
        <v>1</v>
      </c>
      <c r="AB639" s="28">
        <v>1</v>
      </c>
      <c r="AC639" s="29">
        <v>1</v>
      </c>
      <c r="AD639" s="30">
        <v>14810</v>
      </c>
      <c r="BA639">
        <v>638</v>
      </c>
      <c r="BB639" s="28">
        <v>1</v>
      </c>
      <c r="BC639" s="28">
        <v>1</v>
      </c>
      <c r="BD639" s="29">
        <v>1</v>
      </c>
      <c r="BE639" s="30">
        <v>15330</v>
      </c>
    </row>
    <row r="640" spans="26:57">
      <c r="Z640" s="20">
        <v>639</v>
      </c>
      <c r="AA640" s="28">
        <v>1</v>
      </c>
      <c r="AB640" s="28">
        <v>1</v>
      </c>
      <c r="AC640" s="29">
        <v>1</v>
      </c>
      <c r="AD640" s="30">
        <v>13400</v>
      </c>
      <c r="BA640">
        <v>639</v>
      </c>
      <c r="BB640" s="28">
        <v>1</v>
      </c>
      <c r="BC640" s="28">
        <v>1</v>
      </c>
      <c r="BD640" s="29">
        <v>1</v>
      </c>
      <c r="BE640" s="30">
        <v>15450</v>
      </c>
    </row>
    <row r="641" spans="26:57">
      <c r="Z641" s="20">
        <v>640</v>
      </c>
      <c r="AA641" s="28">
        <v>1</v>
      </c>
      <c r="AB641" s="28">
        <v>1</v>
      </c>
      <c r="AC641" s="29">
        <v>1</v>
      </c>
      <c r="AD641" s="30">
        <v>12160</v>
      </c>
      <c r="BA641">
        <v>640</v>
      </c>
      <c r="BB641" s="28">
        <v>1</v>
      </c>
      <c r="BC641" s="28">
        <v>0</v>
      </c>
      <c r="BD641" s="29">
        <v>0.99</v>
      </c>
      <c r="BE641" s="30">
        <v>16150</v>
      </c>
    </row>
    <row r="642" spans="26:57">
      <c r="Z642" s="20">
        <v>641</v>
      </c>
      <c r="AA642" s="28">
        <v>1</v>
      </c>
      <c r="AB642" s="28">
        <v>1</v>
      </c>
      <c r="AC642" s="29">
        <v>1</v>
      </c>
      <c r="AD642" s="30">
        <v>13570</v>
      </c>
      <c r="BA642">
        <v>641</v>
      </c>
      <c r="BB642" s="28">
        <v>1</v>
      </c>
      <c r="BC642" s="28">
        <v>1</v>
      </c>
      <c r="BD642" s="29">
        <v>1</v>
      </c>
      <c r="BE642" s="30">
        <v>16560</v>
      </c>
    </row>
    <row r="643" spans="26:57">
      <c r="Z643" s="20">
        <v>642</v>
      </c>
      <c r="AA643" s="28">
        <v>1</v>
      </c>
      <c r="AB643" s="28">
        <v>1</v>
      </c>
      <c r="AC643" s="29">
        <v>1</v>
      </c>
      <c r="AD643" s="30">
        <v>12380</v>
      </c>
      <c r="BA643">
        <v>642</v>
      </c>
      <c r="BB643" s="28">
        <v>1</v>
      </c>
      <c r="BC643" s="28">
        <v>1</v>
      </c>
      <c r="BD643" s="29">
        <v>1</v>
      </c>
      <c r="BE643" s="30">
        <v>15340</v>
      </c>
    </row>
    <row r="644" spans="26:57">
      <c r="Z644" s="20">
        <v>643</v>
      </c>
      <c r="AA644" s="28">
        <v>1</v>
      </c>
      <c r="AB644" s="28">
        <v>1</v>
      </c>
      <c r="AC644" s="29">
        <v>1</v>
      </c>
      <c r="AD644" s="30">
        <v>13270</v>
      </c>
      <c r="BA644">
        <v>643</v>
      </c>
      <c r="BB644" s="28">
        <v>1</v>
      </c>
      <c r="BC644" s="28">
        <v>1</v>
      </c>
      <c r="BD644" s="29">
        <v>1</v>
      </c>
      <c r="BE644" s="30">
        <v>15380</v>
      </c>
    </row>
    <row r="645" spans="26:57">
      <c r="Z645" s="20">
        <v>644</v>
      </c>
      <c r="AA645" s="28">
        <v>1</v>
      </c>
      <c r="AB645" s="28">
        <v>1</v>
      </c>
      <c r="AC645" s="29">
        <v>1</v>
      </c>
      <c r="AD645" s="30">
        <v>12060</v>
      </c>
      <c r="BA645">
        <v>644</v>
      </c>
      <c r="BB645" s="28">
        <v>1</v>
      </c>
      <c r="BC645" s="28">
        <v>1</v>
      </c>
      <c r="BD645" s="29">
        <v>1</v>
      </c>
      <c r="BE645" s="30">
        <v>14100</v>
      </c>
    </row>
    <row r="646" spans="26:57">
      <c r="Z646" s="20">
        <v>645</v>
      </c>
      <c r="AA646" s="28">
        <v>1</v>
      </c>
      <c r="AB646" s="28">
        <v>1</v>
      </c>
      <c r="AC646" s="29">
        <v>1</v>
      </c>
      <c r="AD646" s="30">
        <v>11400</v>
      </c>
      <c r="BA646">
        <v>645</v>
      </c>
      <c r="BB646" s="28">
        <v>1</v>
      </c>
      <c r="BC646" s="28">
        <v>0</v>
      </c>
      <c r="BD646" s="29">
        <v>0.99</v>
      </c>
      <c r="BE646" s="30">
        <v>19300</v>
      </c>
    </row>
    <row r="647" spans="26:57">
      <c r="Z647" s="20">
        <v>646</v>
      </c>
      <c r="AA647" s="28">
        <v>1</v>
      </c>
      <c r="AB647" s="28">
        <v>1</v>
      </c>
      <c r="AC647" s="29">
        <v>1</v>
      </c>
      <c r="AD647" s="30">
        <v>12160</v>
      </c>
      <c r="BA647">
        <v>646</v>
      </c>
      <c r="BB647" s="28">
        <v>1</v>
      </c>
      <c r="BC647" s="28">
        <v>0</v>
      </c>
      <c r="BD647" s="29">
        <v>0.99</v>
      </c>
      <c r="BE647" s="30">
        <v>16170</v>
      </c>
    </row>
    <row r="648" spans="26:57">
      <c r="Z648" s="20">
        <v>647</v>
      </c>
      <c r="AA648" s="28">
        <v>1</v>
      </c>
      <c r="AB648" s="28">
        <v>1</v>
      </c>
      <c r="AC648" s="29">
        <v>1</v>
      </c>
      <c r="AD648" s="30">
        <v>13360</v>
      </c>
      <c r="BA648">
        <v>647</v>
      </c>
      <c r="BB648" s="28">
        <v>1</v>
      </c>
      <c r="BC648" s="28">
        <v>0</v>
      </c>
      <c r="BD648" s="29">
        <v>0.99</v>
      </c>
      <c r="BE648" s="30">
        <v>17460</v>
      </c>
    </row>
    <row r="649" spans="26:57">
      <c r="Z649" s="20">
        <v>648</v>
      </c>
      <c r="AA649" s="28">
        <v>1</v>
      </c>
      <c r="AB649" s="28">
        <v>1</v>
      </c>
      <c r="AC649" s="29">
        <v>1</v>
      </c>
      <c r="AD649" s="30">
        <v>13520</v>
      </c>
      <c r="BA649">
        <v>648</v>
      </c>
      <c r="BB649" s="28">
        <v>1</v>
      </c>
      <c r="BC649" s="28">
        <v>0</v>
      </c>
      <c r="BD649" s="29">
        <v>0.99</v>
      </c>
      <c r="BE649" s="30">
        <v>16820</v>
      </c>
    </row>
    <row r="650" spans="26:57">
      <c r="Z650" s="20">
        <v>649</v>
      </c>
      <c r="AA650" s="28">
        <v>1</v>
      </c>
      <c r="AB650" s="28">
        <v>1</v>
      </c>
      <c r="AC650" s="29">
        <v>1</v>
      </c>
      <c r="AD650" s="30">
        <v>14670</v>
      </c>
      <c r="BA650">
        <v>649</v>
      </c>
      <c r="BB650" s="28">
        <v>1</v>
      </c>
      <c r="BC650" s="28">
        <v>0</v>
      </c>
      <c r="BD650" s="29">
        <v>0.99</v>
      </c>
      <c r="BE650" s="30">
        <v>16710</v>
      </c>
    </row>
    <row r="651" spans="26:57">
      <c r="Z651" s="20">
        <v>650</v>
      </c>
      <c r="AA651" s="28">
        <v>1</v>
      </c>
      <c r="AB651" s="28">
        <v>1</v>
      </c>
      <c r="AC651" s="29">
        <v>1</v>
      </c>
      <c r="AD651" s="30">
        <v>12150</v>
      </c>
      <c r="BA651">
        <v>650</v>
      </c>
      <c r="BB651" s="28">
        <v>1</v>
      </c>
      <c r="BC651" s="28">
        <v>1</v>
      </c>
      <c r="BD651" s="29">
        <v>1</v>
      </c>
      <c r="BE651" s="30">
        <v>17040</v>
      </c>
    </row>
    <row r="652" spans="26:57">
      <c r="Z652" s="20">
        <v>651</v>
      </c>
      <c r="AA652" s="28">
        <v>1</v>
      </c>
      <c r="AB652" s="28">
        <v>1</v>
      </c>
      <c r="AC652" s="29">
        <v>1</v>
      </c>
      <c r="AD652" s="30">
        <v>13210</v>
      </c>
      <c r="BA652">
        <v>651</v>
      </c>
      <c r="BB652" s="28">
        <v>1</v>
      </c>
      <c r="BC652" s="28">
        <v>1</v>
      </c>
      <c r="BD652" s="29">
        <v>1</v>
      </c>
      <c r="BE652" s="30">
        <v>17860</v>
      </c>
    </row>
    <row r="653" spans="26:57">
      <c r="Z653" s="20">
        <v>652</v>
      </c>
      <c r="AA653" s="28">
        <v>1</v>
      </c>
      <c r="AB653" s="28">
        <v>1</v>
      </c>
      <c r="AC653" s="29">
        <v>1</v>
      </c>
      <c r="AD653" s="30">
        <v>13360</v>
      </c>
      <c r="BA653">
        <v>652</v>
      </c>
      <c r="BB653" s="28">
        <v>1</v>
      </c>
      <c r="BC653" s="28">
        <v>1</v>
      </c>
      <c r="BD653" s="29">
        <v>1</v>
      </c>
      <c r="BE653" s="30">
        <v>17120</v>
      </c>
    </row>
    <row r="654" spans="26:57">
      <c r="Z654" s="20">
        <v>653</v>
      </c>
      <c r="AA654" s="28">
        <v>1</v>
      </c>
      <c r="AB654" s="28">
        <v>1</v>
      </c>
      <c r="AC654" s="29">
        <v>1</v>
      </c>
      <c r="AD654" s="30">
        <v>12320</v>
      </c>
      <c r="BA654">
        <v>653</v>
      </c>
      <c r="BB654" s="28">
        <v>1</v>
      </c>
      <c r="BC654" s="28">
        <v>0</v>
      </c>
      <c r="BD654" s="29">
        <v>0.99</v>
      </c>
      <c r="BE654" s="30">
        <v>17370</v>
      </c>
    </row>
    <row r="655" spans="26:57">
      <c r="Z655" s="20">
        <v>654</v>
      </c>
      <c r="AA655" s="28">
        <v>1</v>
      </c>
      <c r="AB655" s="28">
        <v>1</v>
      </c>
      <c r="AC655" s="29">
        <v>1</v>
      </c>
      <c r="AD655" s="30">
        <v>11660</v>
      </c>
      <c r="BA655">
        <v>654</v>
      </c>
      <c r="BB655" s="28">
        <v>1</v>
      </c>
      <c r="BC655" s="28">
        <v>1</v>
      </c>
      <c r="BD655" s="29">
        <v>1</v>
      </c>
      <c r="BE655" s="30">
        <v>18990</v>
      </c>
    </row>
    <row r="656" spans="26:57">
      <c r="Z656" s="20">
        <v>655</v>
      </c>
      <c r="AA656" s="28">
        <v>1</v>
      </c>
      <c r="AB656" s="28">
        <v>1</v>
      </c>
      <c r="AC656" s="29">
        <v>1</v>
      </c>
      <c r="AD656" s="30">
        <v>12170</v>
      </c>
      <c r="BA656">
        <v>655</v>
      </c>
      <c r="BB656" s="28">
        <v>1</v>
      </c>
      <c r="BC656" s="28">
        <v>1</v>
      </c>
      <c r="BD656" s="29">
        <v>1</v>
      </c>
      <c r="BE656" s="30">
        <v>16450</v>
      </c>
    </row>
    <row r="657" spans="26:57">
      <c r="Z657" s="20">
        <v>656</v>
      </c>
      <c r="AA657" s="28">
        <v>1</v>
      </c>
      <c r="AB657" s="28">
        <v>1</v>
      </c>
      <c r="AC657" s="29">
        <v>1</v>
      </c>
      <c r="AD657" s="30">
        <v>13430</v>
      </c>
      <c r="BA657">
        <v>656</v>
      </c>
      <c r="BB657" s="28">
        <v>1</v>
      </c>
      <c r="BC657" s="28">
        <v>1</v>
      </c>
      <c r="BD657" s="29">
        <v>1</v>
      </c>
      <c r="BE657" s="30">
        <v>16260</v>
      </c>
    </row>
    <row r="658" spans="26:57">
      <c r="Z658" s="20">
        <v>657</v>
      </c>
      <c r="AA658" s="28">
        <v>1</v>
      </c>
      <c r="AB658" s="28">
        <v>1</v>
      </c>
      <c r="AC658" s="29">
        <v>1</v>
      </c>
      <c r="AD658" s="30">
        <v>13450</v>
      </c>
      <c r="BA658">
        <v>657</v>
      </c>
      <c r="BB658" s="28">
        <v>1</v>
      </c>
      <c r="BC658" s="28">
        <v>1</v>
      </c>
      <c r="BD658" s="29">
        <v>1</v>
      </c>
      <c r="BE658" s="30">
        <v>17370</v>
      </c>
    </row>
    <row r="659" spans="26:57">
      <c r="Z659" s="20">
        <v>658</v>
      </c>
      <c r="AA659" s="28">
        <v>1</v>
      </c>
      <c r="AB659" s="28">
        <v>1</v>
      </c>
      <c r="AC659" s="29">
        <v>1</v>
      </c>
      <c r="AD659" s="30">
        <v>12790</v>
      </c>
      <c r="BA659">
        <v>658</v>
      </c>
      <c r="BB659" s="28">
        <v>1</v>
      </c>
      <c r="BC659" s="28">
        <v>1</v>
      </c>
      <c r="BD659" s="29">
        <v>1</v>
      </c>
      <c r="BE659" s="30">
        <v>17480</v>
      </c>
    </row>
    <row r="660" spans="26:57">
      <c r="Z660" s="20">
        <v>659</v>
      </c>
      <c r="AA660" s="28">
        <v>1</v>
      </c>
      <c r="AB660" s="28">
        <v>1</v>
      </c>
      <c r="AC660" s="29">
        <v>1</v>
      </c>
      <c r="AD660" s="30">
        <v>13360</v>
      </c>
      <c r="BA660">
        <v>659</v>
      </c>
      <c r="BB660" s="28">
        <v>1</v>
      </c>
      <c r="BC660" s="28">
        <v>1</v>
      </c>
      <c r="BD660" s="29">
        <v>1</v>
      </c>
      <c r="BE660" s="30">
        <v>15220</v>
      </c>
    </row>
    <row r="661" spans="26:57">
      <c r="Z661" s="20">
        <v>660</v>
      </c>
      <c r="AA661" s="28">
        <v>1</v>
      </c>
      <c r="AB661" s="28">
        <v>1</v>
      </c>
      <c r="AC661" s="29">
        <v>1</v>
      </c>
      <c r="AD661" s="30">
        <v>11580</v>
      </c>
      <c r="BA661">
        <v>660</v>
      </c>
      <c r="BB661" s="28">
        <v>1</v>
      </c>
      <c r="BC661" s="28">
        <v>0</v>
      </c>
      <c r="BD661" s="29">
        <v>0.98</v>
      </c>
      <c r="BE661" s="30">
        <v>16660</v>
      </c>
    </row>
    <row r="662" spans="26:57">
      <c r="Z662" s="20">
        <v>661</v>
      </c>
      <c r="AA662" s="28">
        <v>1</v>
      </c>
      <c r="AB662" s="28">
        <v>1</v>
      </c>
      <c r="AC662" s="29">
        <v>1</v>
      </c>
      <c r="AD662" s="30">
        <v>13280</v>
      </c>
      <c r="BA662">
        <v>661</v>
      </c>
      <c r="BB662" s="28">
        <v>1</v>
      </c>
      <c r="BC662" s="28">
        <v>1</v>
      </c>
      <c r="BD662" s="29">
        <v>1</v>
      </c>
      <c r="BE662" s="30">
        <v>19670</v>
      </c>
    </row>
    <row r="663" spans="26:57">
      <c r="Z663" s="20">
        <v>662</v>
      </c>
      <c r="AA663" s="28">
        <v>1</v>
      </c>
      <c r="AB663" s="28">
        <v>1</v>
      </c>
      <c r="AC663" s="29">
        <v>1</v>
      </c>
      <c r="AD663" s="30">
        <v>12350</v>
      </c>
      <c r="BA663">
        <v>662</v>
      </c>
      <c r="BB663" s="28">
        <v>1</v>
      </c>
      <c r="BC663" s="28">
        <v>0</v>
      </c>
      <c r="BD663" s="29">
        <v>0.99</v>
      </c>
      <c r="BE663" s="30">
        <v>17480</v>
      </c>
    </row>
    <row r="664" spans="26:57">
      <c r="Z664" s="20">
        <v>663</v>
      </c>
      <c r="AA664" s="28">
        <v>1</v>
      </c>
      <c r="AB664" s="28">
        <v>1</v>
      </c>
      <c r="AC664" s="29">
        <v>1</v>
      </c>
      <c r="AD664" s="30">
        <v>11970</v>
      </c>
      <c r="BA664">
        <v>663</v>
      </c>
      <c r="BB664" s="28">
        <v>1</v>
      </c>
      <c r="BC664" s="28">
        <v>1</v>
      </c>
      <c r="BD664" s="29">
        <v>1</v>
      </c>
      <c r="BE664" s="30">
        <v>15510</v>
      </c>
    </row>
    <row r="665" spans="26:57">
      <c r="Z665" s="20">
        <v>664</v>
      </c>
      <c r="AA665" s="28">
        <v>1</v>
      </c>
      <c r="AB665" s="28">
        <v>1</v>
      </c>
      <c r="AC665" s="29">
        <v>1</v>
      </c>
      <c r="AD665" s="30">
        <v>12050</v>
      </c>
      <c r="BA665">
        <v>664</v>
      </c>
      <c r="BB665" s="28">
        <v>1</v>
      </c>
      <c r="BC665" s="28">
        <v>0</v>
      </c>
      <c r="BD665" s="29">
        <v>0.99</v>
      </c>
      <c r="BE665" s="30">
        <v>17130</v>
      </c>
    </row>
    <row r="666" spans="26:57">
      <c r="Z666" s="20">
        <v>665</v>
      </c>
      <c r="AA666" s="28">
        <v>1</v>
      </c>
      <c r="AB666" s="28">
        <v>1</v>
      </c>
      <c r="AC666" s="29">
        <v>1</v>
      </c>
      <c r="AD666" s="30">
        <v>12580</v>
      </c>
      <c r="BA666">
        <v>665</v>
      </c>
      <c r="BB666" s="28">
        <v>1</v>
      </c>
      <c r="BC666" s="28">
        <v>0</v>
      </c>
      <c r="BD666" s="29">
        <v>0.99</v>
      </c>
      <c r="BE666" s="30">
        <v>17690</v>
      </c>
    </row>
    <row r="667" spans="26:57">
      <c r="Z667" s="20">
        <v>666</v>
      </c>
      <c r="AA667" s="28">
        <v>1</v>
      </c>
      <c r="AB667" s="28">
        <v>1</v>
      </c>
      <c r="AC667" s="29">
        <v>1</v>
      </c>
      <c r="AD667" s="30">
        <v>12000</v>
      </c>
      <c r="BA667">
        <v>666</v>
      </c>
      <c r="BB667" s="28">
        <v>1</v>
      </c>
      <c r="BC667" s="28">
        <v>1</v>
      </c>
      <c r="BD667" s="29">
        <v>1</v>
      </c>
      <c r="BE667" s="30">
        <v>15720</v>
      </c>
    </row>
    <row r="668" spans="26:57">
      <c r="Z668" s="20">
        <v>667</v>
      </c>
      <c r="AA668" s="28">
        <v>1</v>
      </c>
      <c r="AB668" s="28">
        <v>1</v>
      </c>
      <c r="AC668" s="29">
        <v>1</v>
      </c>
      <c r="AD668" s="30">
        <v>12420</v>
      </c>
      <c r="BA668">
        <v>667</v>
      </c>
      <c r="BB668" s="28">
        <v>1</v>
      </c>
      <c r="BC668" s="28">
        <v>1</v>
      </c>
      <c r="BD668" s="29">
        <v>1</v>
      </c>
      <c r="BE668" s="30">
        <v>16960</v>
      </c>
    </row>
    <row r="669" spans="26:57">
      <c r="Z669" s="20">
        <v>668</v>
      </c>
      <c r="AA669" s="28">
        <v>1</v>
      </c>
      <c r="AB669" s="28">
        <v>1</v>
      </c>
      <c r="AC669" s="29">
        <v>1</v>
      </c>
      <c r="AD669" s="30">
        <v>11910</v>
      </c>
      <c r="BA669">
        <v>668</v>
      </c>
      <c r="BB669" s="28">
        <v>1</v>
      </c>
      <c r="BC669" s="28">
        <v>1</v>
      </c>
      <c r="BD669" s="29">
        <v>1</v>
      </c>
      <c r="BE669" s="30">
        <v>16280</v>
      </c>
    </row>
    <row r="670" spans="26:57">
      <c r="Z670" s="20">
        <v>669</v>
      </c>
      <c r="AA670" s="28">
        <v>1</v>
      </c>
      <c r="AB670" s="28">
        <v>1</v>
      </c>
      <c r="AC670" s="29">
        <v>1</v>
      </c>
      <c r="AD670" s="30">
        <v>12280</v>
      </c>
      <c r="BA670">
        <v>669</v>
      </c>
      <c r="BB670" s="28">
        <v>1</v>
      </c>
      <c r="BC670" s="28">
        <v>0</v>
      </c>
      <c r="BD670" s="29">
        <v>0.99</v>
      </c>
      <c r="BE670" s="30">
        <v>18420</v>
      </c>
    </row>
    <row r="671" spans="26:57">
      <c r="Z671" s="20">
        <v>670</v>
      </c>
      <c r="AA671" s="28">
        <v>1</v>
      </c>
      <c r="AB671" s="28">
        <v>1</v>
      </c>
      <c r="AC671" s="29">
        <v>1</v>
      </c>
      <c r="AD671" s="30">
        <v>13670</v>
      </c>
      <c r="BA671">
        <v>670</v>
      </c>
      <c r="BB671" s="28">
        <v>1</v>
      </c>
      <c r="BC671" s="28">
        <v>1</v>
      </c>
      <c r="BD671" s="29">
        <v>1</v>
      </c>
      <c r="BE671" s="30">
        <v>17080</v>
      </c>
    </row>
    <row r="672" spans="26:57">
      <c r="Z672" s="20">
        <v>671</v>
      </c>
      <c r="AA672" s="28">
        <v>1</v>
      </c>
      <c r="AB672" s="28">
        <v>1</v>
      </c>
      <c r="AC672" s="29">
        <v>1</v>
      </c>
      <c r="AD672" s="30">
        <v>12820</v>
      </c>
      <c r="BA672">
        <v>671</v>
      </c>
      <c r="BB672" s="28">
        <v>1</v>
      </c>
      <c r="BC672" s="28">
        <v>1</v>
      </c>
      <c r="BD672" s="29">
        <v>1</v>
      </c>
      <c r="BE672" s="30">
        <v>17570</v>
      </c>
    </row>
    <row r="673" spans="26:57">
      <c r="Z673" s="20">
        <v>672</v>
      </c>
      <c r="AA673" s="28">
        <v>1</v>
      </c>
      <c r="AB673" s="28">
        <v>1</v>
      </c>
      <c r="AC673" s="29">
        <v>1</v>
      </c>
      <c r="AD673" s="30">
        <v>14700</v>
      </c>
      <c r="BA673">
        <v>672</v>
      </c>
      <c r="BB673" s="28">
        <v>1</v>
      </c>
      <c r="BC673" s="28">
        <v>0</v>
      </c>
      <c r="BD673" s="29">
        <v>0.98</v>
      </c>
      <c r="BE673" s="30">
        <v>20510</v>
      </c>
    </row>
    <row r="674" spans="26:57">
      <c r="Z674" s="20">
        <v>673</v>
      </c>
      <c r="AA674" s="28">
        <v>1</v>
      </c>
      <c r="AB674" s="28">
        <v>1</v>
      </c>
      <c r="AC674" s="29">
        <v>1</v>
      </c>
      <c r="AD674" s="30">
        <v>14120</v>
      </c>
      <c r="BA674">
        <v>673</v>
      </c>
      <c r="BB674" s="28">
        <v>1</v>
      </c>
      <c r="BC674" s="28">
        <v>0</v>
      </c>
      <c r="BD674" s="29">
        <v>0.99</v>
      </c>
      <c r="BE674" s="30">
        <v>17560</v>
      </c>
    </row>
    <row r="675" spans="26:57">
      <c r="Z675" s="20">
        <v>674</v>
      </c>
      <c r="AA675" s="28">
        <v>1</v>
      </c>
      <c r="AB675" s="28">
        <v>1</v>
      </c>
      <c r="AC675" s="29">
        <v>1</v>
      </c>
      <c r="AD675" s="30">
        <v>12030</v>
      </c>
      <c r="BA675">
        <v>674</v>
      </c>
      <c r="BB675" s="28">
        <v>1</v>
      </c>
      <c r="BC675" s="28">
        <v>0</v>
      </c>
      <c r="BD675" s="29">
        <v>0.97</v>
      </c>
      <c r="BE675" s="30">
        <v>18930</v>
      </c>
    </row>
    <row r="676" spans="26:57">
      <c r="Z676" s="20">
        <v>675</v>
      </c>
      <c r="AA676" s="28">
        <v>1</v>
      </c>
      <c r="AB676" s="28">
        <v>1</v>
      </c>
      <c r="AC676" s="29">
        <v>1</v>
      </c>
      <c r="AD676" s="30">
        <v>11570</v>
      </c>
      <c r="BA676">
        <v>675</v>
      </c>
      <c r="BB676" s="28">
        <v>1</v>
      </c>
      <c r="BC676" s="28">
        <v>0</v>
      </c>
      <c r="BD676" s="29">
        <v>0.99</v>
      </c>
      <c r="BE676" s="30">
        <v>15630</v>
      </c>
    </row>
    <row r="677" spans="26:57">
      <c r="Z677" s="20">
        <v>676</v>
      </c>
      <c r="AA677" s="28">
        <v>1</v>
      </c>
      <c r="AB677" s="28">
        <v>1</v>
      </c>
      <c r="AC677" s="29">
        <v>1</v>
      </c>
      <c r="AD677" s="30">
        <v>12150</v>
      </c>
      <c r="BA677">
        <v>676</v>
      </c>
      <c r="BB677" s="28">
        <v>1</v>
      </c>
      <c r="BC677" s="28">
        <v>1</v>
      </c>
      <c r="BD677" s="29">
        <v>1</v>
      </c>
      <c r="BE677" s="30">
        <v>16660</v>
      </c>
    </row>
    <row r="678" spans="26:57">
      <c r="Z678" s="20">
        <v>677</v>
      </c>
      <c r="AA678" s="28">
        <v>1</v>
      </c>
      <c r="AB678" s="28">
        <v>1</v>
      </c>
      <c r="AC678" s="29">
        <v>1</v>
      </c>
      <c r="AD678" s="30">
        <v>14550</v>
      </c>
      <c r="BA678">
        <v>677</v>
      </c>
      <c r="BB678" s="28">
        <v>1</v>
      </c>
      <c r="BC678" s="28">
        <v>0</v>
      </c>
      <c r="BD678" s="29">
        <v>0.99</v>
      </c>
      <c r="BE678" s="30">
        <v>16680</v>
      </c>
    </row>
    <row r="679" spans="26:57">
      <c r="Z679" s="20">
        <v>678</v>
      </c>
      <c r="AA679" s="28">
        <v>1</v>
      </c>
      <c r="AB679" s="28">
        <v>1</v>
      </c>
      <c r="AC679" s="29">
        <v>1</v>
      </c>
      <c r="AD679" s="30">
        <v>12620</v>
      </c>
      <c r="BA679">
        <v>678</v>
      </c>
      <c r="BB679" s="28">
        <v>1</v>
      </c>
      <c r="BC679" s="28">
        <v>1</v>
      </c>
      <c r="BD679" s="29">
        <v>1</v>
      </c>
      <c r="BE679" s="30">
        <v>16790</v>
      </c>
    </row>
    <row r="680" spans="26:57">
      <c r="Z680" s="20">
        <v>679</v>
      </c>
      <c r="AA680" s="28">
        <v>1</v>
      </c>
      <c r="AB680" s="28">
        <v>1</v>
      </c>
      <c r="AC680" s="29">
        <v>1</v>
      </c>
      <c r="AD680" s="30">
        <v>12500</v>
      </c>
      <c r="BA680">
        <v>679</v>
      </c>
      <c r="BB680" s="28">
        <v>1</v>
      </c>
      <c r="BC680" s="28">
        <v>0</v>
      </c>
      <c r="BD680" s="29">
        <v>0.99</v>
      </c>
      <c r="BE680" s="30">
        <v>17550</v>
      </c>
    </row>
    <row r="681" spans="26:57">
      <c r="Z681" s="20">
        <v>680</v>
      </c>
      <c r="AA681" s="28">
        <v>1</v>
      </c>
      <c r="AB681" s="28">
        <v>1</v>
      </c>
      <c r="AC681" s="29">
        <v>1</v>
      </c>
      <c r="AD681" s="30">
        <v>12450</v>
      </c>
      <c r="BA681">
        <v>680</v>
      </c>
      <c r="BB681" s="28">
        <v>1</v>
      </c>
      <c r="BC681" s="28">
        <v>1</v>
      </c>
      <c r="BD681" s="29">
        <v>1</v>
      </c>
      <c r="BE681" s="30">
        <v>17450</v>
      </c>
    </row>
    <row r="682" spans="26:57">
      <c r="Z682" s="20">
        <v>681</v>
      </c>
      <c r="AA682" s="28">
        <v>1</v>
      </c>
      <c r="AB682" s="28">
        <v>1</v>
      </c>
      <c r="AC682" s="29">
        <v>1</v>
      </c>
      <c r="AD682" s="30">
        <v>11430</v>
      </c>
      <c r="BA682">
        <v>681</v>
      </c>
      <c r="BB682" s="28">
        <v>1</v>
      </c>
      <c r="BC682" s="28">
        <v>0</v>
      </c>
      <c r="BD682" s="29">
        <v>0.99</v>
      </c>
      <c r="BE682" s="30">
        <v>16990</v>
      </c>
    </row>
    <row r="683" spans="26:57">
      <c r="Z683" s="20">
        <v>682</v>
      </c>
      <c r="AA683" s="28">
        <v>1</v>
      </c>
      <c r="AB683" s="28">
        <v>1</v>
      </c>
      <c r="AC683" s="29">
        <v>1</v>
      </c>
      <c r="AD683" s="30">
        <v>11850</v>
      </c>
      <c r="BA683">
        <v>682</v>
      </c>
      <c r="BB683" s="28">
        <v>1</v>
      </c>
      <c r="BC683" s="28">
        <v>1</v>
      </c>
      <c r="BD683" s="29">
        <v>1</v>
      </c>
      <c r="BE683" s="30">
        <v>17350</v>
      </c>
    </row>
    <row r="684" spans="26:57">
      <c r="Z684" s="20">
        <v>683</v>
      </c>
      <c r="AA684" s="28">
        <v>1</v>
      </c>
      <c r="AB684" s="28">
        <v>1</v>
      </c>
      <c r="AC684" s="29">
        <v>1</v>
      </c>
      <c r="AD684" s="30">
        <v>13220</v>
      </c>
      <c r="BA684">
        <v>683</v>
      </c>
      <c r="BB684" s="28">
        <v>1</v>
      </c>
      <c r="BC684" s="28">
        <v>0</v>
      </c>
      <c r="BD684" s="29">
        <v>0.98</v>
      </c>
      <c r="BE684" s="30">
        <v>17540</v>
      </c>
    </row>
    <row r="685" spans="26:57">
      <c r="Z685" s="20">
        <v>684</v>
      </c>
      <c r="AA685" s="28">
        <v>1</v>
      </c>
      <c r="AB685" s="28">
        <v>1</v>
      </c>
      <c r="AC685" s="29">
        <v>1</v>
      </c>
      <c r="AD685" s="30">
        <v>11900</v>
      </c>
      <c r="BA685">
        <v>684</v>
      </c>
      <c r="BB685" s="28">
        <v>1</v>
      </c>
      <c r="BC685" s="28">
        <v>0</v>
      </c>
      <c r="BD685" s="29">
        <v>0.99</v>
      </c>
      <c r="BE685" s="30">
        <v>16620</v>
      </c>
    </row>
    <row r="686" spans="26:57">
      <c r="Z686" s="20">
        <v>685</v>
      </c>
      <c r="AA686" s="28">
        <v>1</v>
      </c>
      <c r="AB686" s="28">
        <v>1</v>
      </c>
      <c r="AC686" s="29">
        <v>1</v>
      </c>
      <c r="AD686" s="30">
        <v>13000</v>
      </c>
      <c r="BA686">
        <v>685</v>
      </c>
      <c r="BB686" s="28">
        <v>1</v>
      </c>
      <c r="BC686" s="28">
        <v>1</v>
      </c>
      <c r="BD686" s="29">
        <v>1</v>
      </c>
      <c r="BE686" s="30">
        <v>15250</v>
      </c>
    </row>
    <row r="687" spans="26:57">
      <c r="Z687" s="20">
        <v>686</v>
      </c>
      <c r="AA687" s="28">
        <v>1</v>
      </c>
      <c r="AB687" s="28">
        <v>1</v>
      </c>
      <c r="AC687" s="29">
        <v>1</v>
      </c>
      <c r="AD687" s="30">
        <v>12460</v>
      </c>
      <c r="BA687">
        <v>686</v>
      </c>
      <c r="BB687" s="28">
        <v>1</v>
      </c>
      <c r="BC687" s="28">
        <v>1</v>
      </c>
      <c r="BD687" s="29">
        <v>1</v>
      </c>
      <c r="BE687" s="30">
        <v>16230</v>
      </c>
    </row>
    <row r="688" spans="26:57">
      <c r="Z688" s="20">
        <v>687</v>
      </c>
      <c r="AA688" s="28">
        <v>1</v>
      </c>
      <c r="AB688" s="28">
        <v>1</v>
      </c>
      <c r="AC688" s="29">
        <v>1</v>
      </c>
      <c r="AD688" s="30">
        <v>11920</v>
      </c>
      <c r="BA688">
        <v>687</v>
      </c>
      <c r="BB688" s="28">
        <v>1</v>
      </c>
      <c r="BC688" s="28">
        <v>1</v>
      </c>
      <c r="BD688" s="29">
        <v>1</v>
      </c>
      <c r="BE688" s="30">
        <v>18450</v>
      </c>
    </row>
    <row r="689" spans="26:57">
      <c r="Z689" s="20">
        <v>688</v>
      </c>
      <c r="AA689" s="28">
        <v>1</v>
      </c>
      <c r="AB689" s="28">
        <v>1</v>
      </c>
      <c r="AC689" s="29">
        <v>1</v>
      </c>
      <c r="AD689" s="30">
        <v>14290</v>
      </c>
      <c r="BA689">
        <v>688</v>
      </c>
      <c r="BB689" s="28">
        <v>1</v>
      </c>
      <c r="BC689" s="28">
        <v>1</v>
      </c>
      <c r="BD689" s="29">
        <v>1</v>
      </c>
      <c r="BE689" s="30">
        <v>16110</v>
      </c>
    </row>
    <row r="690" spans="26:57">
      <c r="Z690" s="20">
        <v>689</v>
      </c>
      <c r="AA690" s="28">
        <v>1</v>
      </c>
      <c r="AB690" s="28">
        <v>1</v>
      </c>
      <c r="AC690" s="29">
        <v>1</v>
      </c>
      <c r="AD690" s="30">
        <v>14840</v>
      </c>
      <c r="BA690">
        <v>689</v>
      </c>
      <c r="BB690" s="28">
        <v>1</v>
      </c>
      <c r="BC690" s="28">
        <v>0</v>
      </c>
      <c r="BD690" s="29">
        <v>0.97</v>
      </c>
      <c r="BE690" s="30">
        <v>15440</v>
      </c>
    </row>
    <row r="691" spans="26:57">
      <c r="Z691" s="20">
        <v>690</v>
      </c>
      <c r="AA691" s="28">
        <v>1</v>
      </c>
      <c r="AB691" s="28">
        <v>1</v>
      </c>
      <c r="AC691" s="29">
        <v>1</v>
      </c>
      <c r="AD691" s="30">
        <v>13090</v>
      </c>
      <c r="BA691">
        <v>690</v>
      </c>
      <c r="BB691" s="28">
        <v>1</v>
      </c>
      <c r="BC691" s="28">
        <v>1</v>
      </c>
      <c r="BD691" s="29">
        <v>1</v>
      </c>
      <c r="BE691" s="30">
        <v>18230</v>
      </c>
    </row>
    <row r="692" spans="26:57">
      <c r="Z692" s="20">
        <v>691</v>
      </c>
      <c r="AA692" s="28">
        <v>1</v>
      </c>
      <c r="AB692" s="28">
        <v>1</v>
      </c>
      <c r="AC692" s="29">
        <v>1</v>
      </c>
      <c r="AD692" s="30">
        <v>13050</v>
      </c>
      <c r="BA692">
        <v>691</v>
      </c>
      <c r="BB692" s="28">
        <v>1</v>
      </c>
      <c r="BC692" s="28">
        <v>0</v>
      </c>
      <c r="BD692" s="29">
        <v>0.98</v>
      </c>
      <c r="BE692" s="30">
        <v>16200</v>
      </c>
    </row>
    <row r="693" spans="26:57">
      <c r="Z693" s="20">
        <v>692</v>
      </c>
      <c r="AA693" s="28">
        <v>1</v>
      </c>
      <c r="AB693" s="28">
        <v>1</v>
      </c>
      <c r="AC693" s="29">
        <v>1</v>
      </c>
      <c r="AD693" s="30">
        <v>12110</v>
      </c>
      <c r="BA693">
        <v>692</v>
      </c>
      <c r="BB693" s="28">
        <v>1</v>
      </c>
      <c r="BC693" s="28">
        <v>0</v>
      </c>
      <c r="BD693" s="29">
        <v>0.99</v>
      </c>
      <c r="BE693" s="30">
        <v>17060</v>
      </c>
    </row>
    <row r="694" spans="26:57">
      <c r="Z694" s="20">
        <v>693</v>
      </c>
      <c r="AA694" s="28">
        <v>1</v>
      </c>
      <c r="AB694" s="28">
        <v>1</v>
      </c>
      <c r="AC694" s="29">
        <v>1</v>
      </c>
      <c r="AD694" s="30">
        <v>11660</v>
      </c>
      <c r="BA694">
        <v>693</v>
      </c>
      <c r="BB694" s="28">
        <v>1</v>
      </c>
      <c r="BC694" s="28">
        <v>1</v>
      </c>
      <c r="BD694" s="29">
        <v>1</v>
      </c>
      <c r="BE694" s="30">
        <v>14190</v>
      </c>
    </row>
    <row r="695" spans="26:57">
      <c r="Z695" s="20">
        <v>694</v>
      </c>
      <c r="AA695" s="28">
        <v>1</v>
      </c>
      <c r="AB695" s="28">
        <v>1</v>
      </c>
      <c r="AC695" s="29">
        <v>1</v>
      </c>
      <c r="AD695" s="30">
        <v>12570</v>
      </c>
      <c r="BA695">
        <v>694</v>
      </c>
      <c r="BB695" s="28">
        <v>1</v>
      </c>
      <c r="BC695" s="28">
        <v>0</v>
      </c>
      <c r="BD695" s="29">
        <v>0.98</v>
      </c>
      <c r="BE695" s="30">
        <v>17500</v>
      </c>
    </row>
    <row r="696" spans="26:57">
      <c r="Z696" s="20">
        <v>695</v>
      </c>
      <c r="AA696" s="28">
        <v>1</v>
      </c>
      <c r="AB696" s="28">
        <v>1</v>
      </c>
      <c r="AC696" s="29">
        <v>1</v>
      </c>
      <c r="AD696" s="30">
        <v>11230</v>
      </c>
      <c r="BA696">
        <v>695</v>
      </c>
      <c r="BB696" s="28">
        <v>1</v>
      </c>
      <c r="BC696" s="28">
        <v>0</v>
      </c>
      <c r="BD696" s="29">
        <v>0.99</v>
      </c>
      <c r="BE696" s="30">
        <v>18650</v>
      </c>
    </row>
    <row r="697" spans="26:57">
      <c r="Z697" s="20">
        <v>696</v>
      </c>
      <c r="AA697" s="28">
        <v>1</v>
      </c>
      <c r="AB697" s="28">
        <v>1</v>
      </c>
      <c r="AC697" s="29">
        <v>1</v>
      </c>
      <c r="AD697" s="30">
        <v>13870</v>
      </c>
      <c r="BA697">
        <v>696</v>
      </c>
      <c r="BB697" s="28">
        <v>1</v>
      </c>
      <c r="BC697" s="28">
        <v>0</v>
      </c>
      <c r="BD697" s="29">
        <v>0.99</v>
      </c>
      <c r="BE697" s="30">
        <v>15790</v>
      </c>
    </row>
    <row r="698" spans="26:57">
      <c r="Z698" s="20">
        <v>697</v>
      </c>
      <c r="AA698" s="28">
        <v>1</v>
      </c>
      <c r="AB698" s="28">
        <v>1</v>
      </c>
      <c r="AC698" s="29">
        <v>1</v>
      </c>
      <c r="AD698" s="30">
        <v>13430</v>
      </c>
      <c r="BA698">
        <v>697</v>
      </c>
      <c r="BB698" s="28">
        <v>1</v>
      </c>
      <c r="BC698" s="28">
        <v>0</v>
      </c>
      <c r="BD698" s="29">
        <v>0.99</v>
      </c>
      <c r="BE698" s="30">
        <v>16730</v>
      </c>
    </row>
    <row r="699" spans="26:57">
      <c r="Z699" s="20">
        <v>698</v>
      </c>
      <c r="AA699" s="28">
        <v>1</v>
      </c>
      <c r="AB699" s="28">
        <v>1</v>
      </c>
      <c r="AC699" s="29">
        <v>1</v>
      </c>
      <c r="AD699" s="30">
        <v>13780</v>
      </c>
      <c r="BA699">
        <v>698</v>
      </c>
      <c r="BB699" s="28">
        <v>1</v>
      </c>
      <c r="BC699" s="28">
        <v>0</v>
      </c>
      <c r="BD699" s="29">
        <v>0.99</v>
      </c>
      <c r="BE699" s="30">
        <v>19230</v>
      </c>
    </row>
    <row r="700" spans="26:57">
      <c r="Z700" s="20">
        <v>699</v>
      </c>
      <c r="AA700" s="28">
        <v>1</v>
      </c>
      <c r="AB700" s="28">
        <v>1</v>
      </c>
      <c r="AC700" s="29">
        <v>1</v>
      </c>
      <c r="AD700" s="30">
        <v>13400</v>
      </c>
      <c r="BA700">
        <v>699</v>
      </c>
      <c r="BB700" s="28">
        <v>1</v>
      </c>
      <c r="BC700" s="28">
        <v>0</v>
      </c>
      <c r="BD700" s="29">
        <v>0.99</v>
      </c>
      <c r="BE700" s="30">
        <v>18360</v>
      </c>
    </row>
    <row r="701" spans="26:57">
      <c r="Z701" s="20">
        <v>700</v>
      </c>
      <c r="AA701" s="28">
        <v>1</v>
      </c>
      <c r="AB701" s="28">
        <v>1</v>
      </c>
      <c r="AC701" s="29">
        <v>1</v>
      </c>
      <c r="AD701" s="30">
        <v>12410</v>
      </c>
      <c r="BA701">
        <v>700</v>
      </c>
      <c r="BB701" s="28">
        <v>1</v>
      </c>
      <c r="BC701" s="28">
        <v>0</v>
      </c>
      <c r="BD701" s="29">
        <v>0.99</v>
      </c>
      <c r="BE701" s="30">
        <v>18000</v>
      </c>
    </row>
    <row r="702" spans="26:57">
      <c r="Z702" s="20">
        <v>701</v>
      </c>
      <c r="AA702" s="28">
        <v>1</v>
      </c>
      <c r="AB702" s="28">
        <v>1</v>
      </c>
      <c r="AC702" s="29">
        <v>1</v>
      </c>
      <c r="AD702" s="30">
        <v>12960</v>
      </c>
      <c r="BA702">
        <v>701</v>
      </c>
      <c r="BB702" s="28">
        <v>1</v>
      </c>
      <c r="BC702" s="28">
        <v>1</v>
      </c>
      <c r="BD702" s="29">
        <v>1</v>
      </c>
      <c r="BE702" s="30">
        <v>16350</v>
      </c>
    </row>
    <row r="703" spans="26:57">
      <c r="Z703" s="20">
        <v>702</v>
      </c>
      <c r="AA703" s="28">
        <v>1</v>
      </c>
      <c r="AB703" s="28">
        <v>1</v>
      </c>
      <c r="AC703" s="29">
        <v>1</v>
      </c>
      <c r="AD703" s="30">
        <v>14930</v>
      </c>
      <c r="BA703">
        <v>702</v>
      </c>
      <c r="BB703" s="28">
        <v>1</v>
      </c>
      <c r="BC703" s="28">
        <v>1</v>
      </c>
      <c r="BD703" s="29">
        <v>1</v>
      </c>
      <c r="BE703" s="30">
        <v>15060</v>
      </c>
    </row>
    <row r="704" spans="26:57">
      <c r="Z704" s="20">
        <v>703</v>
      </c>
      <c r="AA704" s="28">
        <v>1</v>
      </c>
      <c r="AB704" s="28">
        <v>1</v>
      </c>
      <c r="AC704" s="29">
        <v>1</v>
      </c>
      <c r="AD704" s="30">
        <v>11700</v>
      </c>
      <c r="BA704">
        <v>703</v>
      </c>
      <c r="BB704" s="28">
        <v>1</v>
      </c>
      <c r="BC704" s="28">
        <v>0</v>
      </c>
      <c r="BD704" s="29">
        <v>0.98</v>
      </c>
      <c r="BE704" s="30">
        <v>19030</v>
      </c>
    </row>
    <row r="705" spans="26:57">
      <c r="Z705" s="20">
        <v>704</v>
      </c>
      <c r="AA705" s="28">
        <v>1</v>
      </c>
      <c r="AB705" s="28">
        <v>1</v>
      </c>
      <c r="AC705" s="29">
        <v>1</v>
      </c>
      <c r="AD705" s="30">
        <v>13620</v>
      </c>
      <c r="BA705">
        <v>704</v>
      </c>
      <c r="BB705" s="28">
        <v>1</v>
      </c>
      <c r="BC705" s="28">
        <v>0</v>
      </c>
      <c r="BD705" s="29">
        <v>0.99</v>
      </c>
      <c r="BE705" s="30">
        <v>16260</v>
      </c>
    </row>
    <row r="706" spans="26:57">
      <c r="Z706" s="20">
        <v>705</v>
      </c>
      <c r="AA706" s="28">
        <v>1</v>
      </c>
      <c r="AB706" s="28">
        <v>1</v>
      </c>
      <c r="AC706" s="29">
        <v>1</v>
      </c>
      <c r="AD706" s="30">
        <v>13330</v>
      </c>
      <c r="BA706">
        <v>705</v>
      </c>
      <c r="BB706" s="28">
        <v>1</v>
      </c>
      <c r="BC706" s="28">
        <v>1</v>
      </c>
      <c r="BD706" s="29">
        <v>1</v>
      </c>
      <c r="BE706" s="30">
        <v>17270</v>
      </c>
    </row>
    <row r="707" spans="26:57">
      <c r="Z707" s="20">
        <v>706</v>
      </c>
      <c r="AA707" s="28">
        <v>1</v>
      </c>
      <c r="AB707" s="28">
        <v>1</v>
      </c>
      <c r="AC707" s="29">
        <v>1</v>
      </c>
      <c r="AD707" s="30">
        <v>13670</v>
      </c>
      <c r="BA707">
        <v>706</v>
      </c>
      <c r="BB707" s="28">
        <v>1</v>
      </c>
      <c r="BC707" s="28">
        <v>1</v>
      </c>
      <c r="BD707" s="29">
        <v>1</v>
      </c>
      <c r="BE707" s="30">
        <v>17130</v>
      </c>
    </row>
    <row r="708" spans="26:57">
      <c r="Z708" s="20">
        <v>707</v>
      </c>
      <c r="AA708" s="28">
        <v>1</v>
      </c>
      <c r="AB708" s="28">
        <v>1</v>
      </c>
      <c r="AC708" s="29">
        <v>1</v>
      </c>
      <c r="AD708" s="30">
        <v>12020</v>
      </c>
      <c r="BA708">
        <v>707</v>
      </c>
      <c r="BB708" s="28">
        <v>1</v>
      </c>
      <c r="BC708" s="28">
        <v>1</v>
      </c>
      <c r="BD708" s="29">
        <v>1</v>
      </c>
      <c r="BE708" s="30">
        <v>16170</v>
      </c>
    </row>
    <row r="709" spans="26:57">
      <c r="Z709" s="20">
        <v>708</v>
      </c>
      <c r="AA709" s="28">
        <v>1</v>
      </c>
      <c r="AB709" s="28">
        <v>1</v>
      </c>
      <c r="AC709" s="29">
        <v>1</v>
      </c>
      <c r="AD709" s="30">
        <v>13000</v>
      </c>
      <c r="BA709">
        <v>708</v>
      </c>
      <c r="BB709" s="28">
        <v>1</v>
      </c>
      <c r="BC709" s="28">
        <v>1</v>
      </c>
      <c r="BD709" s="29">
        <v>1</v>
      </c>
      <c r="BE709" s="30">
        <v>16750</v>
      </c>
    </row>
    <row r="710" spans="26:57">
      <c r="Z710" s="20">
        <v>709</v>
      </c>
      <c r="AA710" s="28">
        <v>1</v>
      </c>
      <c r="AB710" s="28">
        <v>1</v>
      </c>
      <c r="AC710" s="29">
        <v>1</v>
      </c>
      <c r="AD710" s="30">
        <v>12560</v>
      </c>
      <c r="BA710">
        <v>709</v>
      </c>
      <c r="BB710" s="28">
        <v>1</v>
      </c>
      <c r="BC710" s="28">
        <v>0</v>
      </c>
      <c r="BD710" s="29">
        <v>0.99</v>
      </c>
      <c r="BE710" s="30">
        <v>14930</v>
      </c>
    </row>
    <row r="711" spans="26:57">
      <c r="Z711" s="20">
        <v>710</v>
      </c>
      <c r="AA711" s="28">
        <v>1</v>
      </c>
      <c r="AB711" s="28">
        <v>1</v>
      </c>
      <c r="AC711" s="29">
        <v>1</v>
      </c>
      <c r="AD711" s="30">
        <v>10860</v>
      </c>
      <c r="BA711">
        <v>710</v>
      </c>
      <c r="BB711" s="28">
        <v>1</v>
      </c>
      <c r="BC711" s="28">
        <v>1</v>
      </c>
      <c r="BD711" s="29">
        <v>1</v>
      </c>
      <c r="BE711" s="30">
        <v>16100</v>
      </c>
    </row>
    <row r="712" spans="26:57">
      <c r="Z712" s="20">
        <v>711</v>
      </c>
      <c r="AA712" s="28">
        <v>1</v>
      </c>
      <c r="AB712" s="28">
        <v>1</v>
      </c>
      <c r="AC712" s="29">
        <v>1</v>
      </c>
      <c r="AD712" s="30">
        <v>13020</v>
      </c>
      <c r="BA712">
        <v>711</v>
      </c>
      <c r="BB712" s="28">
        <v>1</v>
      </c>
      <c r="BC712" s="28">
        <v>1</v>
      </c>
      <c r="BD712" s="29">
        <v>1</v>
      </c>
      <c r="BE712" s="30">
        <v>17510</v>
      </c>
    </row>
    <row r="713" spans="26:57">
      <c r="Z713" s="20">
        <v>712</v>
      </c>
      <c r="AA713" s="28">
        <v>1</v>
      </c>
      <c r="AB713" s="28">
        <v>1</v>
      </c>
      <c r="AC713" s="29">
        <v>1</v>
      </c>
      <c r="AD713" s="30">
        <v>13220</v>
      </c>
      <c r="BA713">
        <v>712</v>
      </c>
      <c r="BB713" s="28">
        <v>1</v>
      </c>
      <c r="BC713" s="28">
        <v>1</v>
      </c>
      <c r="BD713" s="29">
        <v>1</v>
      </c>
      <c r="BE713" s="30">
        <v>17970</v>
      </c>
    </row>
    <row r="714" spans="26:57">
      <c r="Z714" s="20">
        <v>713</v>
      </c>
      <c r="AA714" s="28">
        <v>1</v>
      </c>
      <c r="AB714" s="28">
        <v>1</v>
      </c>
      <c r="AC714" s="29">
        <v>1</v>
      </c>
      <c r="AD714" s="30">
        <v>11760</v>
      </c>
      <c r="BA714">
        <v>713</v>
      </c>
      <c r="BB714" s="28">
        <v>1</v>
      </c>
      <c r="BC714" s="28">
        <v>1</v>
      </c>
      <c r="BD714" s="29">
        <v>1</v>
      </c>
      <c r="BE714" s="30">
        <v>16760</v>
      </c>
    </row>
    <row r="715" spans="26:57">
      <c r="Z715" s="20">
        <v>714</v>
      </c>
      <c r="AA715" s="28">
        <v>1</v>
      </c>
      <c r="AB715" s="28">
        <v>1</v>
      </c>
      <c r="AC715" s="29">
        <v>1</v>
      </c>
      <c r="AD715" s="30">
        <v>12750</v>
      </c>
      <c r="BA715">
        <v>714</v>
      </c>
      <c r="BB715" s="28">
        <v>1</v>
      </c>
      <c r="BC715" s="28">
        <v>0</v>
      </c>
      <c r="BD715" s="29">
        <v>0.96</v>
      </c>
      <c r="BE715" s="30">
        <v>20560</v>
      </c>
    </row>
    <row r="716" spans="26:57">
      <c r="Z716" s="20">
        <v>715</v>
      </c>
      <c r="AA716" s="28">
        <v>1</v>
      </c>
      <c r="AB716" s="28">
        <v>1</v>
      </c>
      <c r="AC716" s="29">
        <v>1</v>
      </c>
      <c r="AD716" s="30">
        <v>11420</v>
      </c>
      <c r="BA716">
        <v>715</v>
      </c>
      <c r="BB716" s="28">
        <v>1</v>
      </c>
      <c r="BC716" s="28">
        <v>0</v>
      </c>
      <c r="BD716" s="29">
        <v>0.99</v>
      </c>
      <c r="BE716" s="30">
        <v>18080</v>
      </c>
    </row>
    <row r="717" spans="26:57">
      <c r="Z717" s="20">
        <v>716</v>
      </c>
      <c r="AA717" s="28">
        <v>1</v>
      </c>
      <c r="AB717" s="28">
        <v>1</v>
      </c>
      <c r="AC717" s="29">
        <v>1</v>
      </c>
      <c r="AD717" s="30">
        <v>11230</v>
      </c>
      <c r="BA717">
        <v>716</v>
      </c>
      <c r="BB717" s="28">
        <v>1</v>
      </c>
      <c r="BC717" s="28">
        <v>1</v>
      </c>
      <c r="BD717" s="29">
        <v>1</v>
      </c>
      <c r="BE717" s="30">
        <v>18920</v>
      </c>
    </row>
    <row r="718" spans="26:57">
      <c r="Z718" s="20">
        <v>717</v>
      </c>
      <c r="AA718" s="28">
        <v>1</v>
      </c>
      <c r="AB718" s="28">
        <v>1</v>
      </c>
      <c r="AC718" s="29">
        <v>1</v>
      </c>
      <c r="AD718" s="30">
        <v>11400</v>
      </c>
      <c r="BA718">
        <v>717</v>
      </c>
      <c r="BB718" s="28">
        <v>1</v>
      </c>
      <c r="BC718" s="28">
        <v>1</v>
      </c>
      <c r="BD718" s="29">
        <v>1</v>
      </c>
      <c r="BE718" s="30">
        <v>17260</v>
      </c>
    </row>
    <row r="719" spans="26:57">
      <c r="Z719" s="20">
        <v>718</v>
      </c>
      <c r="AA719" s="28">
        <v>1</v>
      </c>
      <c r="AB719" s="28">
        <v>1</v>
      </c>
      <c r="AC719" s="29">
        <v>1</v>
      </c>
      <c r="AD719" s="30">
        <v>12690</v>
      </c>
      <c r="BA719">
        <v>718</v>
      </c>
      <c r="BB719" s="28">
        <v>1</v>
      </c>
      <c r="BC719" s="28">
        <v>0</v>
      </c>
      <c r="BD719" s="29">
        <v>0.99</v>
      </c>
      <c r="BE719" s="30">
        <v>17430</v>
      </c>
    </row>
    <row r="720" spans="26:57">
      <c r="Z720" s="20">
        <v>719</v>
      </c>
      <c r="AA720" s="28">
        <v>1</v>
      </c>
      <c r="AB720" s="28">
        <v>1</v>
      </c>
      <c r="AC720" s="29">
        <v>1</v>
      </c>
      <c r="AD720" s="30">
        <v>12540</v>
      </c>
      <c r="BA720">
        <v>719</v>
      </c>
      <c r="BB720" s="28">
        <v>1</v>
      </c>
      <c r="BC720" s="28">
        <v>0</v>
      </c>
      <c r="BD720" s="29">
        <v>0.99</v>
      </c>
      <c r="BE720" s="30">
        <v>18960</v>
      </c>
    </row>
    <row r="721" spans="26:57">
      <c r="Z721" s="20">
        <v>720</v>
      </c>
      <c r="AA721" s="28">
        <v>1</v>
      </c>
      <c r="AB721" s="28">
        <v>1</v>
      </c>
      <c r="AC721" s="29">
        <v>1</v>
      </c>
      <c r="AD721" s="30">
        <v>12850</v>
      </c>
      <c r="BA721">
        <v>720</v>
      </c>
      <c r="BB721" s="28">
        <v>1</v>
      </c>
      <c r="BC721" s="28">
        <v>0</v>
      </c>
      <c r="BD721" s="29">
        <v>0.99</v>
      </c>
      <c r="BE721" s="30">
        <v>17590</v>
      </c>
    </row>
    <row r="722" spans="26:57">
      <c r="Z722" s="20">
        <v>721</v>
      </c>
      <c r="AA722" s="28">
        <v>1</v>
      </c>
      <c r="AB722" s="28">
        <v>1</v>
      </c>
      <c r="AC722" s="29">
        <v>1</v>
      </c>
      <c r="AD722" s="30">
        <v>11410</v>
      </c>
      <c r="BA722">
        <v>721</v>
      </c>
      <c r="BB722" s="28">
        <v>1</v>
      </c>
      <c r="BC722" s="28">
        <v>0</v>
      </c>
      <c r="BD722" s="29">
        <v>0.99</v>
      </c>
      <c r="BE722" s="30">
        <v>17320</v>
      </c>
    </row>
    <row r="723" spans="26:57">
      <c r="Z723" s="20">
        <v>722</v>
      </c>
      <c r="AA723" s="28">
        <v>1</v>
      </c>
      <c r="AB723" s="28">
        <v>1</v>
      </c>
      <c r="AC723" s="29">
        <v>1</v>
      </c>
      <c r="AD723" s="30">
        <v>13570</v>
      </c>
      <c r="BA723">
        <v>722</v>
      </c>
      <c r="BB723" s="28">
        <v>1</v>
      </c>
      <c r="BC723" s="28">
        <v>0</v>
      </c>
      <c r="BD723" s="29">
        <v>0.99</v>
      </c>
      <c r="BE723" s="30">
        <v>16470</v>
      </c>
    </row>
    <row r="724" spans="26:57">
      <c r="Z724" s="20">
        <v>723</v>
      </c>
      <c r="AA724" s="28">
        <v>1</v>
      </c>
      <c r="AB724" s="28">
        <v>1</v>
      </c>
      <c r="AC724" s="29">
        <v>1</v>
      </c>
      <c r="AD724" s="30">
        <v>13100</v>
      </c>
      <c r="BA724">
        <v>723</v>
      </c>
      <c r="BB724" s="28">
        <v>1</v>
      </c>
      <c r="BC724" s="28">
        <v>1</v>
      </c>
      <c r="BD724" s="29">
        <v>1</v>
      </c>
      <c r="BE724" s="30">
        <v>15860</v>
      </c>
    </row>
    <row r="725" spans="26:57">
      <c r="Z725" s="20">
        <v>724</v>
      </c>
      <c r="AA725" s="28">
        <v>1</v>
      </c>
      <c r="AB725" s="28">
        <v>1</v>
      </c>
      <c r="AC725" s="29">
        <v>1</v>
      </c>
      <c r="AD725" s="30">
        <v>13140</v>
      </c>
      <c r="BA725">
        <v>724</v>
      </c>
      <c r="BB725" s="28">
        <v>1</v>
      </c>
      <c r="BC725" s="28">
        <v>0</v>
      </c>
      <c r="BD725" s="29">
        <v>0.99</v>
      </c>
      <c r="BE725" s="30">
        <v>16450</v>
      </c>
    </row>
    <row r="726" spans="26:57">
      <c r="Z726" s="20">
        <v>725</v>
      </c>
      <c r="AA726" s="28">
        <v>1</v>
      </c>
      <c r="AB726" s="28">
        <v>1</v>
      </c>
      <c r="AC726" s="29">
        <v>1</v>
      </c>
      <c r="AD726" s="30">
        <v>11890</v>
      </c>
      <c r="BA726">
        <v>725</v>
      </c>
      <c r="BB726" s="28">
        <v>1</v>
      </c>
      <c r="BC726" s="28">
        <v>0</v>
      </c>
      <c r="BD726" s="29">
        <v>0.99</v>
      </c>
      <c r="BE726" s="30">
        <v>16710</v>
      </c>
    </row>
    <row r="727" spans="26:57">
      <c r="Z727" s="20">
        <v>726</v>
      </c>
      <c r="AA727" s="28">
        <v>1</v>
      </c>
      <c r="AB727" s="28">
        <v>1</v>
      </c>
      <c r="AC727" s="29">
        <v>1</v>
      </c>
      <c r="AD727" s="30">
        <v>12780</v>
      </c>
      <c r="BA727">
        <v>726</v>
      </c>
      <c r="BB727" s="28">
        <v>1</v>
      </c>
      <c r="BC727" s="28">
        <v>0</v>
      </c>
      <c r="BD727" s="29">
        <v>0.99</v>
      </c>
      <c r="BE727" s="30">
        <v>17260</v>
      </c>
    </row>
    <row r="728" spans="26:57">
      <c r="Z728" s="20">
        <v>727</v>
      </c>
      <c r="AA728" s="28">
        <v>1</v>
      </c>
      <c r="AB728" s="28">
        <v>1</v>
      </c>
      <c r="AC728" s="29">
        <v>1</v>
      </c>
      <c r="AD728" s="30">
        <v>13440</v>
      </c>
      <c r="BA728">
        <v>727</v>
      </c>
      <c r="BB728" s="28">
        <v>1</v>
      </c>
      <c r="BC728" s="28">
        <v>0</v>
      </c>
      <c r="BD728" s="29">
        <v>0.97</v>
      </c>
      <c r="BE728" s="30">
        <v>20500</v>
      </c>
    </row>
    <row r="729" spans="26:57">
      <c r="Z729" s="20">
        <v>728</v>
      </c>
      <c r="AA729" s="28">
        <v>1</v>
      </c>
      <c r="AB729" s="28">
        <v>1</v>
      </c>
      <c r="AC729" s="29">
        <v>1</v>
      </c>
      <c r="AD729" s="30">
        <v>12800</v>
      </c>
      <c r="BA729">
        <v>728</v>
      </c>
      <c r="BB729" s="28">
        <v>1</v>
      </c>
      <c r="BC729" s="28">
        <v>0</v>
      </c>
      <c r="BD729" s="29">
        <v>0.98</v>
      </c>
      <c r="BE729" s="30">
        <v>17390</v>
      </c>
    </row>
    <row r="730" spans="26:57">
      <c r="Z730" s="20">
        <v>729</v>
      </c>
      <c r="AA730" s="28">
        <v>1</v>
      </c>
      <c r="AB730" s="28">
        <v>1</v>
      </c>
      <c r="AC730" s="29">
        <v>1</v>
      </c>
      <c r="AD730" s="30">
        <v>12490</v>
      </c>
      <c r="BA730">
        <v>729</v>
      </c>
      <c r="BB730" s="28">
        <v>1</v>
      </c>
      <c r="BC730" s="28">
        <v>0</v>
      </c>
      <c r="BD730" s="29">
        <v>0.99</v>
      </c>
      <c r="BE730" s="30">
        <v>16550</v>
      </c>
    </row>
    <row r="731" spans="26:57">
      <c r="Z731" s="20">
        <v>730</v>
      </c>
      <c r="AA731" s="28">
        <v>1</v>
      </c>
      <c r="AB731" s="28">
        <v>1</v>
      </c>
      <c r="AC731" s="29">
        <v>1</v>
      </c>
      <c r="AD731" s="30">
        <v>12590</v>
      </c>
      <c r="BA731">
        <v>730</v>
      </c>
      <c r="BB731" s="28">
        <v>1</v>
      </c>
      <c r="BC731" s="28">
        <v>1</v>
      </c>
      <c r="BD731" s="29">
        <v>1</v>
      </c>
      <c r="BE731" s="30">
        <v>18670</v>
      </c>
    </row>
    <row r="732" spans="26:57">
      <c r="Z732" s="20">
        <v>731</v>
      </c>
      <c r="AA732" s="28">
        <v>1</v>
      </c>
      <c r="AB732" s="28">
        <v>1</v>
      </c>
      <c r="AC732" s="29">
        <v>1</v>
      </c>
      <c r="AD732" s="30">
        <v>11970</v>
      </c>
      <c r="BA732">
        <v>731</v>
      </c>
      <c r="BB732" s="28">
        <v>1</v>
      </c>
      <c r="BC732" s="28">
        <v>1</v>
      </c>
      <c r="BD732" s="29">
        <v>1</v>
      </c>
      <c r="BE732" s="30">
        <v>18180</v>
      </c>
    </row>
    <row r="733" spans="26:57">
      <c r="Z733" s="20">
        <v>732</v>
      </c>
      <c r="AA733" s="28">
        <v>1</v>
      </c>
      <c r="AB733" s="28">
        <v>1</v>
      </c>
      <c r="AC733" s="29">
        <v>1</v>
      </c>
      <c r="AD733" s="30">
        <v>12350</v>
      </c>
      <c r="BA733">
        <v>732</v>
      </c>
      <c r="BB733" s="28">
        <v>1</v>
      </c>
      <c r="BC733" s="28">
        <v>1</v>
      </c>
      <c r="BD733" s="29">
        <v>1</v>
      </c>
      <c r="BE733" s="30">
        <v>18150</v>
      </c>
    </row>
    <row r="734" spans="26:57">
      <c r="Z734" s="20">
        <v>733</v>
      </c>
      <c r="AA734" s="28">
        <v>1</v>
      </c>
      <c r="AB734" s="28">
        <v>1</v>
      </c>
      <c r="AC734" s="29">
        <v>1</v>
      </c>
      <c r="AD734" s="30">
        <v>12340</v>
      </c>
      <c r="BA734">
        <v>733</v>
      </c>
      <c r="BB734" s="28">
        <v>1</v>
      </c>
      <c r="BC734" s="28">
        <v>0</v>
      </c>
      <c r="BD734" s="29">
        <v>0.99</v>
      </c>
      <c r="BE734" s="30">
        <v>15880</v>
      </c>
    </row>
    <row r="735" spans="26:57">
      <c r="Z735" s="20">
        <v>734</v>
      </c>
      <c r="AA735" s="28">
        <v>1</v>
      </c>
      <c r="AB735" s="28">
        <v>1</v>
      </c>
      <c r="AC735" s="29">
        <v>1</v>
      </c>
      <c r="AD735" s="30">
        <v>12210</v>
      </c>
      <c r="BA735">
        <v>734</v>
      </c>
      <c r="BB735" s="28">
        <v>1</v>
      </c>
      <c r="BC735" s="28">
        <v>1</v>
      </c>
      <c r="BD735" s="29">
        <v>1</v>
      </c>
      <c r="BE735" s="30">
        <v>15460</v>
      </c>
    </row>
    <row r="736" spans="26:57">
      <c r="Z736" s="20">
        <v>735</v>
      </c>
      <c r="AA736" s="28">
        <v>1</v>
      </c>
      <c r="AB736" s="28">
        <v>1</v>
      </c>
      <c r="AC736" s="29">
        <v>1</v>
      </c>
      <c r="AD736" s="30">
        <v>12940</v>
      </c>
      <c r="BA736">
        <v>735</v>
      </c>
      <c r="BB736" s="28">
        <v>1</v>
      </c>
      <c r="BC736" s="28">
        <v>1</v>
      </c>
      <c r="BD736" s="29">
        <v>1</v>
      </c>
      <c r="BE736" s="30">
        <v>17520</v>
      </c>
    </row>
    <row r="737" spans="26:57">
      <c r="Z737" s="20">
        <v>736</v>
      </c>
      <c r="AA737" s="28">
        <v>1</v>
      </c>
      <c r="AB737" s="28">
        <v>1</v>
      </c>
      <c r="AC737" s="29">
        <v>1</v>
      </c>
      <c r="AD737" s="30">
        <v>14250</v>
      </c>
      <c r="BA737">
        <v>736</v>
      </c>
      <c r="BB737" s="28">
        <v>1</v>
      </c>
      <c r="BC737" s="28">
        <v>1</v>
      </c>
      <c r="BD737" s="29">
        <v>1</v>
      </c>
      <c r="BE737" s="30">
        <v>16240</v>
      </c>
    </row>
    <row r="738" spans="26:57">
      <c r="Z738" s="20">
        <v>737</v>
      </c>
      <c r="AA738" s="28">
        <v>1</v>
      </c>
      <c r="AB738" s="28">
        <v>1</v>
      </c>
      <c r="AC738" s="29">
        <v>1</v>
      </c>
      <c r="AD738" s="30">
        <v>12020</v>
      </c>
      <c r="BA738">
        <v>737</v>
      </c>
      <c r="BB738" s="28">
        <v>1</v>
      </c>
      <c r="BC738" s="28">
        <v>0</v>
      </c>
      <c r="BD738" s="29">
        <v>0.99</v>
      </c>
      <c r="BE738" s="30">
        <v>19210</v>
      </c>
    </row>
    <row r="739" spans="26:57">
      <c r="Z739" s="20">
        <v>738</v>
      </c>
      <c r="AA739" s="28">
        <v>1</v>
      </c>
      <c r="AB739" s="28">
        <v>1</v>
      </c>
      <c r="AC739" s="29">
        <v>1</v>
      </c>
      <c r="AD739" s="30">
        <v>13350</v>
      </c>
      <c r="BA739">
        <v>738</v>
      </c>
      <c r="BB739" s="28">
        <v>1</v>
      </c>
      <c r="BC739" s="28">
        <v>0</v>
      </c>
      <c r="BD739" s="29">
        <v>0.99</v>
      </c>
      <c r="BE739" s="30">
        <v>16870</v>
      </c>
    </row>
    <row r="740" spans="26:57">
      <c r="Z740" s="20">
        <v>739</v>
      </c>
      <c r="AA740" s="28">
        <v>1</v>
      </c>
      <c r="AB740" s="28">
        <v>1</v>
      </c>
      <c r="AC740" s="29">
        <v>1</v>
      </c>
      <c r="AD740" s="30">
        <v>11920</v>
      </c>
      <c r="BA740">
        <v>739</v>
      </c>
      <c r="BB740" s="28">
        <v>1</v>
      </c>
      <c r="BC740" s="28">
        <v>0</v>
      </c>
      <c r="BD740" s="29">
        <v>0.99</v>
      </c>
      <c r="BE740" s="30">
        <v>18610</v>
      </c>
    </row>
    <row r="741" spans="26:57">
      <c r="Z741" s="20">
        <v>740</v>
      </c>
      <c r="AA741" s="28">
        <v>1</v>
      </c>
      <c r="AB741" s="28">
        <v>1</v>
      </c>
      <c r="AC741" s="29">
        <v>1</v>
      </c>
      <c r="AD741" s="30">
        <v>10630</v>
      </c>
      <c r="BA741">
        <v>740</v>
      </c>
      <c r="BB741" s="28">
        <v>1</v>
      </c>
      <c r="BC741" s="28">
        <v>1</v>
      </c>
      <c r="BD741" s="29">
        <v>1</v>
      </c>
      <c r="BE741" s="30">
        <v>17020</v>
      </c>
    </row>
    <row r="742" spans="26:57">
      <c r="Z742" s="20">
        <v>741</v>
      </c>
      <c r="AA742" s="28">
        <v>1</v>
      </c>
      <c r="AB742" s="28">
        <v>1</v>
      </c>
      <c r="AC742" s="29">
        <v>1</v>
      </c>
      <c r="AD742" s="30">
        <v>12770</v>
      </c>
      <c r="BA742">
        <v>741</v>
      </c>
      <c r="BB742" s="28">
        <v>1</v>
      </c>
      <c r="BC742" s="28">
        <v>1</v>
      </c>
      <c r="BD742" s="29">
        <v>1</v>
      </c>
      <c r="BE742" s="30">
        <v>16770</v>
      </c>
    </row>
    <row r="743" spans="26:57">
      <c r="Z743" s="20">
        <v>742</v>
      </c>
      <c r="AA743" s="28">
        <v>1</v>
      </c>
      <c r="AB743" s="28">
        <v>1</v>
      </c>
      <c r="AC743" s="29">
        <v>1</v>
      </c>
      <c r="AD743" s="30">
        <v>12240</v>
      </c>
      <c r="BA743">
        <v>742</v>
      </c>
      <c r="BB743" s="28">
        <v>1</v>
      </c>
      <c r="BC743" s="28">
        <v>1</v>
      </c>
      <c r="BD743" s="29">
        <v>1</v>
      </c>
      <c r="BE743" s="30">
        <v>14860</v>
      </c>
    </row>
    <row r="744" spans="26:57">
      <c r="Z744" s="20">
        <v>743</v>
      </c>
      <c r="AA744" s="28">
        <v>1</v>
      </c>
      <c r="AB744" s="28">
        <v>1</v>
      </c>
      <c r="AC744" s="29">
        <v>1</v>
      </c>
      <c r="AD744" s="30">
        <v>11800</v>
      </c>
      <c r="BA744">
        <v>743</v>
      </c>
      <c r="BB744" s="28">
        <v>1</v>
      </c>
      <c r="BC744" s="28">
        <v>1</v>
      </c>
      <c r="BD744" s="29">
        <v>1</v>
      </c>
      <c r="BE744" s="30">
        <v>15550</v>
      </c>
    </row>
    <row r="745" spans="26:57">
      <c r="Z745" s="20">
        <v>744</v>
      </c>
      <c r="AA745" s="28">
        <v>1</v>
      </c>
      <c r="AB745" s="28">
        <v>1</v>
      </c>
      <c r="AC745" s="29">
        <v>1</v>
      </c>
      <c r="AD745" s="30">
        <v>12590</v>
      </c>
      <c r="BA745">
        <v>744</v>
      </c>
      <c r="BB745" s="28">
        <v>1</v>
      </c>
      <c r="BC745" s="28">
        <v>0</v>
      </c>
      <c r="BD745" s="29">
        <v>0.99</v>
      </c>
      <c r="BE745" s="30">
        <v>19060</v>
      </c>
    </row>
    <row r="746" spans="26:57">
      <c r="Z746" s="20">
        <v>745</v>
      </c>
      <c r="AA746" s="28">
        <v>1</v>
      </c>
      <c r="AB746" s="28">
        <v>1</v>
      </c>
      <c r="AC746" s="29">
        <v>1</v>
      </c>
      <c r="AD746" s="30">
        <v>14660</v>
      </c>
      <c r="BA746">
        <v>745</v>
      </c>
      <c r="BB746" s="28">
        <v>1</v>
      </c>
      <c r="BC746" s="28">
        <v>1</v>
      </c>
      <c r="BD746" s="29">
        <v>1</v>
      </c>
      <c r="BE746" s="30">
        <v>15970</v>
      </c>
    </row>
    <row r="747" spans="26:57">
      <c r="Z747" s="20">
        <v>746</v>
      </c>
      <c r="AA747" s="28">
        <v>1</v>
      </c>
      <c r="AB747" s="28">
        <v>1</v>
      </c>
      <c r="AC747" s="29">
        <v>1</v>
      </c>
      <c r="AD747" s="30">
        <v>11970</v>
      </c>
      <c r="BA747">
        <v>746</v>
      </c>
      <c r="BB747" s="28">
        <v>1</v>
      </c>
      <c r="BC747" s="28">
        <v>1</v>
      </c>
      <c r="BD747" s="29">
        <v>1</v>
      </c>
      <c r="BE747" s="30">
        <v>15130</v>
      </c>
    </row>
    <row r="748" spans="26:57">
      <c r="Z748" s="20">
        <v>747</v>
      </c>
      <c r="AA748" s="28">
        <v>1</v>
      </c>
      <c r="AB748" s="28">
        <v>1</v>
      </c>
      <c r="AC748" s="29">
        <v>1</v>
      </c>
      <c r="AD748" s="30">
        <v>11160</v>
      </c>
      <c r="BA748">
        <v>747</v>
      </c>
      <c r="BB748" s="28">
        <v>1</v>
      </c>
      <c r="BC748" s="28">
        <v>1</v>
      </c>
      <c r="BD748" s="29">
        <v>1</v>
      </c>
      <c r="BE748" s="30">
        <v>16260</v>
      </c>
    </row>
    <row r="749" spans="26:57">
      <c r="Z749" s="20">
        <v>748</v>
      </c>
      <c r="AA749" s="28">
        <v>1</v>
      </c>
      <c r="AB749" s="28">
        <v>1</v>
      </c>
      <c r="AC749" s="29">
        <v>1</v>
      </c>
      <c r="AD749" s="30">
        <v>12570</v>
      </c>
      <c r="BA749">
        <v>748</v>
      </c>
      <c r="BB749" s="28">
        <v>1</v>
      </c>
      <c r="BC749" s="28">
        <v>1</v>
      </c>
      <c r="BD749" s="29">
        <v>1</v>
      </c>
      <c r="BE749" s="30">
        <v>16520</v>
      </c>
    </row>
    <row r="750" spans="26:57">
      <c r="Z750" s="20">
        <v>749</v>
      </c>
      <c r="AA750" s="28">
        <v>1</v>
      </c>
      <c r="AB750" s="28">
        <v>1</v>
      </c>
      <c r="AC750" s="29">
        <v>1</v>
      </c>
      <c r="AD750" s="30">
        <v>12230</v>
      </c>
      <c r="BA750">
        <v>749</v>
      </c>
      <c r="BB750" s="28">
        <v>1</v>
      </c>
      <c r="BC750" s="28">
        <v>1</v>
      </c>
      <c r="BD750" s="29">
        <v>1</v>
      </c>
      <c r="BE750" s="30">
        <v>16380</v>
      </c>
    </row>
    <row r="751" spans="26:57">
      <c r="Z751" s="20">
        <v>750</v>
      </c>
      <c r="AA751" s="28">
        <v>1</v>
      </c>
      <c r="AB751" s="28">
        <v>1</v>
      </c>
      <c r="AC751" s="29">
        <v>1</v>
      </c>
      <c r="AD751" s="30">
        <v>13860</v>
      </c>
      <c r="BA751">
        <v>750</v>
      </c>
      <c r="BB751" s="28">
        <v>1</v>
      </c>
      <c r="BC751" s="28">
        <v>0</v>
      </c>
      <c r="BD751" s="29">
        <v>0.99</v>
      </c>
      <c r="BE751" s="30">
        <v>17810</v>
      </c>
    </row>
    <row r="752" spans="26:57">
      <c r="Z752" s="20">
        <v>751</v>
      </c>
      <c r="AA752" s="28">
        <v>1</v>
      </c>
      <c r="AB752" s="28">
        <v>1</v>
      </c>
      <c r="AC752" s="29">
        <v>1</v>
      </c>
      <c r="AD752" s="30">
        <v>13190</v>
      </c>
      <c r="BA752">
        <v>751</v>
      </c>
      <c r="BB752" s="28">
        <v>1</v>
      </c>
      <c r="BC752" s="28">
        <v>0</v>
      </c>
      <c r="BD752" s="29">
        <v>0.99</v>
      </c>
      <c r="BE752" s="30">
        <v>16440</v>
      </c>
    </row>
    <row r="753" spans="26:57">
      <c r="Z753" s="20">
        <v>752</v>
      </c>
      <c r="AA753" s="28">
        <v>1</v>
      </c>
      <c r="AB753" s="28">
        <v>1</v>
      </c>
      <c r="AC753" s="29">
        <v>1</v>
      </c>
      <c r="AD753" s="30">
        <v>13990</v>
      </c>
      <c r="BA753">
        <v>752</v>
      </c>
      <c r="BB753" s="28">
        <v>1</v>
      </c>
      <c r="BC753" s="28">
        <v>1</v>
      </c>
      <c r="BD753" s="29">
        <v>1</v>
      </c>
      <c r="BE753" s="30">
        <v>19220</v>
      </c>
    </row>
    <row r="754" spans="26:57">
      <c r="Z754" s="20">
        <v>753</v>
      </c>
      <c r="AA754" s="28">
        <v>1</v>
      </c>
      <c r="AB754" s="28">
        <v>1</v>
      </c>
      <c r="AC754" s="29">
        <v>1</v>
      </c>
      <c r="AD754" s="30">
        <v>11720</v>
      </c>
      <c r="BA754">
        <v>753</v>
      </c>
      <c r="BB754" s="28">
        <v>1</v>
      </c>
      <c r="BC754" s="28">
        <v>1</v>
      </c>
      <c r="BD754" s="29">
        <v>1</v>
      </c>
      <c r="BE754" s="30">
        <v>18140</v>
      </c>
    </row>
    <row r="755" spans="26:57">
      <c r="Z755" s="20">
        <v>754</v>
      </c>
      <c r="AA755" s="28">
        <v>1</v>
      </c>
      <c r="AB755" s="28">
        <v>1</v>
      </c>
      <c r="AC755" s="29">
        <v>1</v>
      </c>
      <c r="AD755" s="30">
        <v>12000</v>
      </c>
      <c r="BA755">
        <v>754</v>
      </c>
      <c r="BB755" s="28">
        <v>1</v>
      </c>
      <c r="BC755" s="28">
        <v>0</v>
      </c>
      <c r="BD755" s="29">
        <v>0.98</v>
      </c>
      <c r="BE755" s="30">
        <v>17470</v>
      </c>
    </row>
    <row r="756" spans="26:57">
      <c r="Z756" s="20">
        <v>755</v>
      </c>
      <c r="AA756" s="28">
        <v>1</v>
      </c>
      <c r="AB756" s="28">
        <v>1</v>
      </c>
      <c r="AC756" s="29">
        <v>1</v>
      </c>
      <c r="AD756" s="30">
        <v>11780</v>
      </c>
      <c r="BA756">
        <v>755</v>
      </c>
      <c r="BB756" s="28">
        <v>1</v>
      </c>
      <c r="BC756" s="28">
        <v>1</v>
      </c>
      <c r="BD756" s="29">
        <v>1</v>
      </c>
      <c r="BE756" s="30">
        <v>15710</v>
      </c>
    </row>
    <row r="757" spans="26:57">
      <c r="Z757" s="20">
        <v>756</v>
      </c>
      <c r="AA757" s="28">
        <v>1</v>
      </c>
      <c r="AB757" s="28">
        <v>1</v>
      </c>
      <c r="AC757" s="29">
        <v>1</v>
      </c>
      <c r="AD757" s="30">
        <v>12830</v>
      </c>
      <c r="BA757">
        <v>756</v>
      </c>
      <c r="BB757" s="28">
        <v>1</v>
      </c>
      <c r="BC757" s="28">
        <v>1</v>
      </c>
      <c r="BD757" s="29">
        <v>1</v>
      </c>
      <c r="BE757" s="30">
        <v>16130</v>
      </c>
    </row>
    <row r="758" spans="26:57">
      <c r="Z758" s="20">
        <v>757</v>
      </c>
      <c r="AA758" s="28">
        <v>1</v>
      </c>
      <c r="AB758" s="28">
        <v>1</v>
      </c>
      <c r="AC758" s="29">
        <v>1</v>
      </c>
      <c r="AD758" s="30">
        <v>12980</v>
      </c>
      <c r="BA758">
        <v>757</v>
      </c>
      <c r="BB758" s="28">
        <v>1</v>
      </c>
      <c r="BC758" s="28">
        <v>0</v>
      </c>
      <c r="BD758" s="29">
        <v>0.98</v>
      </c>
      <c r="BE758" s="30">
        <v>18740</v>
      </c>
    </row>
    <row r="759" spans="26:57">
      <c r="Z759" s="20">
        <v>758</v>
      </c>
      <c r="AA759" s="28">
        <v>1</v>
      </c>
      <c r="AB759" s="28">
        <v>1</v>
      </c>
      <c r="AC759" s="29">
        <v>1</v>
      </c>
      <c r="AD759" s="30">
        <v>14210</v>
      </c>
      <c r="BA759">
        <v>758</v>
      </c>
      <c r="BB759" s="28">
        <v>1</v>
      </c>
      <c r="BC759" s="28">
        <v>1</v>
      </c>
      <c r="BD759" s="29">
        <v>1</v>
      </c>
      <c r="BE759" s="30">
        <v>17260</v>
      </c>
    </row>
    <row r="760" spans="26:57">
      <c r="Z760" s="20">
        <v>759</v>
      </c>
      <c r="AA760" s="28">
        <v>1</v>
      </c>
      <c r="AB760" s="28">
        <v>1</v>
      </c>
      <c r="AC760" s="29">
        <v>1</v>
      </c>
      <c r="AD760" s="30">
        <v>13710</v>
      </c>
      <c r="BA760">
        <v>759</v>
      </c>
      <c r="BB760" s="28">
        <v>1</v>
      </c>
      <c r="BC760" s="28">
        <v>1</v>
      </c>
      <c r="BD760" s="29">
        <v>1</v>
      </c>
      <c r="BE760" s="30">
        <v>17230</v>
      </c>
    </row>
    <row r="761" spans="26:57">
      <c r="Z761" s="20">
        <v>760</v>
      </c>
      <c r="AA761" s="28">
        <v>1</v>
      </c>
      <c r="AB761" s="28">
        <v>1</v>
      </c>
      <c r="AC761" s="29">
        <v>1</v>
      </c>
      <c r="AD761" s="30">
        <v>11040</v>
      </c>
      <c r="BA761">
        <v>760</v>
      </c>
      <c r="BB761" s="28">
        <v>1</v>
      </c>
      <c r="BC761" s="28">
        <v>1</v>
      </c>
      <c r="BD761" s="29">
        <v>1</v>
      </c>
      <c r="BE761" s="30">
        <v>18230</v>
      </c>
    </row>
    <row r="762" spans="26:57">
      <c r="Z762" s="20">
        <v>761</v>
      </c>
      <c r="AA762" s="28">
        <v>1</v>
      </c>
      <c r="AB762" s="28">
        <v>1</v>
      </c>
      <c r="AC762" s="29">
        <v>1</v>
      </c>
      <c r="AD762" s="30">
        <v>13950</v>
      </c>
      <c r="BA762">
        <v>761</v>
      </c>
      <c r="BB762" s="28">
        <v>1</v>
      </c>
      <c r="BC762" s="28">
        <v>1</v>
      </c>
      <c r="BD762" s="29">
        <v>1</v>
      </c>
      <c r="BE762" s="30">
        <v>15220</v>
      </c>
    </row>
    <row r="763" spans="26:57">
      <c r="Z763" s="20">
        <v>762</v>
      </c>
      <c r="AA763" s="28">
        <v>1</v>
      </c>
      <c r="AB763" s="28">
        <v>1</v>
      </c>
      <c r="AC763" s="29">
        <v>1</v>
      </c>
      <c r="AD763" s="30">
        <v>14460</v>
      </c>
      <c r="BA763">
        <v>762</v>
      </c>
      <c r="BB763" s="28">
        <v>1</v>
      </c>
      <c r="BC763" s="28">
        <v>0</v>
      </c>
      <c r="BD763" s="29">
        <v>0.98</v>
      </c>
      <c r="BE763" s="30">
        <v>18150</v>
      </c>
    </row>
    <row r="764" spans="26:57">
      <c r="Z764" s="20">
        <v>763</v>
      </c>
      <c r="AA764" s="28">
        <v>1</v>
      </c>
      <c r="AB764" s="28">
        <v>1</v>
      </c>
      <c r="AC764" s="29">
        <v>1</v>
      </c>
      <c r="AD764" s="30">
        <v>11560</v>
      </c>
      <c r="BA764">
        <v>763</v>
      </c>
      <c r="BB764" s="28">
        <v>1</v>
      </c>
      <c r="BC764" s="28">
        <v>0</v>
      </c>
      <c r="BD764" s="29">
        <v>0.99</v>
      </c>
      <c r="BE764" s="30">
        <v>18160</v>
      </c>
    </row>
    <row r="765" spans="26:57">
      <c r="Z765" s="20">
        <v>764</v>
      </c>
      <c r="AA765" s="28">
        <v>1</v>
      </c>
      <c r="AB765" s="28">
        <v>1</v>
      </c>
      <c r="AC765" s="29">
        <v>1</v>
      </c>
      <c r="AD765" s="30">
        <v>13950</v>
      </c>
      <c r="BA765">
        <v>764</v>
      </c>
      <c r="BB765" s="28">
        <v>1</v>
      </c>
      <c r="BC765" s="28">
        <v>0</v>
      </c>
      <c r="BD765" s="29">
        <v>0.99</v>
      </c>
      <c r="BE765" s="30">
        <v>17560</v>
      </c>
    </row>
    <row r="766" spans="26:57">
      <c r="Z766" s="20">
        <v>765</v>
      </c>
      <c r="AA766" s="28">
        <v>1</v>
      </c>
      <c r="AB766" s="28">
        <v>1</v>
      </c>
      <c r="AC766" s="29">
        <v>1</v>
      </c>
      <c r="AD766" s="30">
        <v>12040</v>
      </c>
      <c r="BA766">
        <v>765</v>
      </c>
      <c r="BB766" s="28">
        <v>1</v>
      </c>
      <c r="BC766" s="28">
        <v>0</v>
      </c>
      <c r="BD766" s="29">
        <v>0.98</v>
      </c>
      <c r="BE766" s="30">
        <v>18150</v>
      </c>
    </row>
    <row r="767" spans="26:57">
      <c r="Z767" s="20">
        <v>766</v>
      </c>
      <c r="AA767" s="28">
        <v>1</v>
      </c>
      <c r="AB767" s="28">
        <v>1</v>
      </c>
      <c r="AC767" s="29">
        <v>1</v>
      </c>
      <c r="AD767" s="30">
        <v>10980</v>
      </c>
      <c r="BA767">
        <v>766</v>
      </c>
      <c r="BB767" s="28">
        <v>1</v>
      </c>
      <c r="BC767" s="28">
        <v>1</v>
      </c>
      <c r="BD767" s="29">
        <v>1</v>
      </c>
      <c r="BE767" s="30">
        <v>16770</v>
      </c>
    </row>
    <row r="768" spans="26:57">
      <c r="Z768" s="20">
        <v>767</v>
      </c>
      <c r="AA768" s="28">
        <v>1</v>
      </c>
      <c r="AB768" s="28">
        <v>1</v>
      </c>
      <c r="AC768" s="29">
        <v>1</v>
      </c>
      <c r="AD768" s="30">
        <v>12540</v>
      </c>
      <c r="BA768">
        <v>767</v>
      </c>
      <c r="BB768" s="28">
        <v>1</v>
      </c>
      <c r="BC768" s="28">
        <v>0</v>
      </c>
      <c r="BD768" s="29">
        <v>0.99</v>
      </c>
      <c r="BE768" s="30">
        <v>17690</v>
      </c>
    </row>
    <row r="769" spans="26:57">
      <c r="Z769" s="20">
        <v>768</v>
      </c>
      <c r="AA769" s="28">
        <v>1</v>
      </c>
      <c r="AB769" s="28">
        <v>1</v>
      </c>
      <c r="AC769" s="29">
        <v>1</v>
      </c>
      <c r="AD769" s="30">
        <v>13000</v>
      </c>
      <c r="BA769">
        <v>768</v>
      </c>
      <c r="BB769" s="28">
        <v>1</v>
      </c>
      <c r="BC769" s="28">
        <v>1</v>
      </c>
      <c r="BD769" s="29">
        <v>1</v>
      </c>
      <c r="BE769" s="30">
        <v>16390</v>
      </c>
    </row>
    <row r="770" spans="26:57">
      <c r="Z770" s="20">
        <v>769</v>
      </c>
      <c r="AA770" s="28">
        <v>1</v>
      </c>
      <c r="AB770" s="28">
        <v>1</v>
      </c>
      <c r="AC770" s="29">
        <v>1</v>
      </c>
      <c r="AD770" s="30">
        <v>12680</v>
      </c>
      <c r="BA770">
        <v>769</v>
      </c>
      <c r="BB770" s="28">
        <v>1</v>
      </c>
      <c r="BC770" s="28">
        <v>1</v>
      </c>
      <c r="BD770" s="29">
        <v>1</v>
      </c>
      <c r="BE770" s="30">
        <v>15250</v>
      </c>
    </row>
    <row r="771" spans="26:57">
      <c r="Z771" s="20">
        <v>770</v>
      </c>
      <c r="AA771" s="28">
        <v>1</v>
      </c>
      <c r="AB771" s="28">
        <v>1</v>
      </c>
      <c r="AC771" s="29">
        <v>1</v>
      </c>
      <c r="AD771" s="30">
        <v>13460</v>
      </c>
      <c r="BA771">
        <v>770</v>
      </c>
      <c r="BB771" s="28">
        <v>1</v>
      </c>
      <c r="BC771" s="28">
        <v>0</v>
      </c>
      <c r="BD771" s="29">
        <v>0.99</v>
      </c>
      <c r="BE771" s="30">
        <v>19110</v>
      </c>
    </row>
    <row r="772" spans="26:57">
      <c r="Z772" s="20">
        <v>771</v>
      </c>
      <c r="AA772" s="28">
        <v>1</v>
      </c>
      <c r="AB772" s="28">
        <v>1</v>
      </c>
      <c r="AC772" s="29">
        <v>1</v>
      </c>
      <c r="AD772" s="30">
        <v>11780</v>
      </c>
      <c r="BA772">
        <v>771</v>
      </c>
      <c r="BB772" s="28">
        <v>1</v>
      </c>
      <c r="BC772" s="28">
        <v>1</v>
      </c>
      <c r="BD772" s="29">
        <v>1</v>
      </c>
      <c r="BE772" s="30">
        <v>19680</v>
      </c>
    </row>
    <row r="773" spans="26:57">
      <c r="Z773" s="20">
        <v>772</v>
      </c>
      <c r="AA773" s="28">
        <v>1</v>
      </c>
      <c r="AB773" s="28">
        <v>1</v>
      </c>
      <c r="AC773" s="29">
        <v>1</v>
      </c>
      <c r="AD773" s="30">
        <v>11620</v>
      </c>
      <c r="BA773">
        <v>772</v>
      </c>
      <c r="BB773" s="28">
        <v>1</v>
      </c>
      <c r="BC773" s="28">
        <v>0</v>
      </c>
      <c r="BD773" s="29">
        <v>0.99</v>
      </c>
      <c r="BE773" s="30">
        <v>15940</v>
      </c>
    </row>
    <row r="774" spans="26:57">
      <c r="Z774" s="20">
        <v>773</v>
      </c>
      <c r="AA774" s="28">
        <v>1</v>
      </c>
      <c r="AB774" s="28">
        <v>1</v>
      </c>
      <c r="AC774" s="29">
        <v>1</v>
      </c>
      <c r="AD774" s="30">
        <v>12790</v>
      </c>
      <c r="BA774">
        <v>773</v>
      </c>
      <c r="BB774" s="28">
        <v>1</v>
      </c>
      <c r="BC774" s="28">
        <v>1</v>
      </c>
      <c r="BD774" s="29">
        <v>1</v>
      </c>
      <c r="BE774" s="30">
        <v>18770</v>
      </c>
    </row>
    <row r="775" spans="26:57">
      <c r="Z775" s="20">
        <v>774</v>
      </c>
      <c r="AA775" s="28">
        <v>1</v>
      </c>
      <c r="AB775" s="28">
        <v>1</v>
      </c>
      <c r="AC775" s="29">
        <v>1</v>
      </c>
      <c r="AD775" s="30">
        <v>12810</v>
      </c>
      <c r="BA775">
        <v>774</v>
      </c>
      <c r="BB775" s="28">
        <v>1</v>
      </c>
      <c r="BC775" s="28">
        <v>0</v>
      </c>
      <c r="BD775" s="29">
        <v>0.99</v>
      </c>
      <c r="BE775" s="30">
        <v>18790</v>
      </c>
    </row>
    <row r="776" spans="26:57">
      <c r="Z776" s="20">
        <v>775</v>
      </c>
      <c r="AA776" s="28">
        <v>1</v>
      </c>
      <c r="AB776" s="28">
        <v>1</v>
      </c>
      <c r="AC776" s="29">
        <v>1</v>
      </c>
      <c r="AD776" s="30">
        <v>14330</v>
      </c>
      <c r="BA776">
        <v>775</v>
      </c>
      <c r="BB776" s="28">
        <v>1</v>
      </c>
      <c r="BC776" s="28">
        <v>0</v>
      </c>
      <c r="BD776" s="29">
        <v>0.99</v>
      </c>
      <c r="BE776" s="30">
        <v>18070</v>
      </c>
    </row>
    <row r="777" spans="26:57">
      <c r="Z777" s="20">
        <v>776</v>
      </c>
      <c r="AA777" s="28">
        <v>1</v>
      </c>
      <c r="AB777" s="28">
        <v>1</v>
      </c>
      <c r="AC777" s="29">
        <v>1</v>
      </c>
      <c r="AD777" s="30">
        <v>13070</v>
      </c>
      <c r="BA777">
        <v>776</v>
      </c>
      <c r="BB777" s="28">
        <v>1</v>
      </c>
      <c r="BC777" s="28">
        <v>0</v>
      </c>
      <c r="BD777" s="29">
        <v>0.99</v>
      </c>
      <c r="BE777" s="30">
        <v>16780</v>
      </c>
    </row>
    <row r="778" spans="26:57">
      <c r="Z778" s="20">
        <v>777</v>
      </c>
      <c r="AA778" s="28">
        <v>1</v>
      </c>
      <c r="AB778" s="28">
        <v>1</v>
      </c>
      <c r="AC778" s="29">
        <v>1</v>
      </c>
      <c r="AD778" s="30">
        <v>11850</v>
      </c>
      <c r="BA778">
        <v>777</v>
      </c>
      <c r="BB778" s="28">
        <v>1</v>
      </c>
      <c r="BC778" s="28">
        <v>0</v>
      </c>
      <c r="BD778" s="29">
        <v>0.99</v>
      </c>
      <c r="BE778" s="30">
        <v>18950</v>
      </c>
    </row>
    <row r="779" spans="26:57">
      <c r="Z779" s="20">
        <v>778</v>
      </c>
      <c r="AA779" s="28">
        <v>1</v>
      </c>
      <c r="AB779" s="28">
        <v>1</v>
      </c>
      <c r="AC779" s="29">
        <v>1</v>
      </c>
      <c r="AD779" s="30">
        <v>12270</v>
      </c>
      <c r="BA779">
        <v>778</v>
      </c>
      <c r="BB779" s="28">
        <v>1</v>
      </c>
      <c r="BC779" s="28">
        <v>0</v>
      </c>
      <c r="BD779" s="29">
        <v>0.99</v>
      </c>
      <c r="BE779" s="30">
        <v>16040</v>
      </c>
    </row>
    <row r="780" spans="26:57">
      <c r="Z780" s="20">
        <v>779</v>
      </c>
      <c r="AA780" s="28">
        <v>1</v>
      </c>
      <c r="AB780" s="28">
        <v>1</v>
      </c>
      <c r="AC780" s="29">
        <v>1</v>
      </c>
      <c r="AD780" s="30">
        <v>10610</v>
      </c>
      <c r="BA780">
        <v>779</v>
      </c>
      <c r="BB780" s="28">
        <v>1</v>
      </c>
      <c r="BC780" s="28">
        <v>1</v>
      </c>
      <c r="BD780" s="29">
        <v>1</v>
      </c>
      <c r="BE780" s="30">
        <v>17910</v>
      </c>
    </row>
    <row r="781" spans="26:57">
      <c r="Z781" s="20">
        <v>780</v>
      </c>
      <c r="AA781" s="28">
        <v>1</v>
      </c>
      <c r="AB781" s="28">
        <v>1</v>
      </c>
      <c r="AC781" s="29">
        <v>1</v>
      </c>
      <c r="AD781" s="30">
        <v>12400</v>
      </c>
      <c r="BA781">
        <v>780</v>
      </c>
      <c r="BB781" s="28">
        <v>1</v>
      </c>
      <c r="BC781" s="28">
        <v>0</v>
      </c>
      <c r="BD781" s="29">
        <v>0.98</v>
      </c>
      <c r="BE781" s="30">
        <v>17210</v>
      </c>
    </row>
    <row r="782" spans="26:57">
      <c r="Z782" s="20">
        <v>781</v>
      </c>
      <c r="AA782" s="28">
        <v>1</v>
      </c>
      <c r="AB782" s="28">
        <v>1</v>
      </c>
      <c r="AC782" s="29">
        <v>1</v>
      </c>
      <c r="AD782" s="30">
        <v>14060</v>
      </c>
      <c r="BA782">
        <v>781</v>
      </c>
      <c r="BB782" s="28">
        <v>1</v>
      </c>
      <c r="BC782" s="28">
        <v>1</v>
      </c>
      <c r="BD782" s="29">
        <v>1</v>
      </c>
      <c r="BE782" s="30">
        <v>16860</v>
      </c>
    </row>
    <row r="783" spans="26:57">
      <c r="Z783" s="20">
        <v>782</v>
      </c>
      <c r="AA783" s="28">
        <v>1</v>
      </c>
      <c r="AB783" s="28">
        <v>1</v>
      </c>
      <c r="AC783" s="29">
        <v>1</v>
      </c>
      <c r="AD783" s="30">
        <v>11490</v>
      </c>
      <c r="BA783">
        <v>782</v>
      </c>
      <c r="BB783" s="28">
        <v>1</v>
      </c>
      <c r="BC783" s="28">
        <v>1</v>
      </c>
      <c r="BD783" s="29">
        <v>1</v>
      </c>
      <c r="BE783" s="30">
        <v>17530</v>
      </c>
    </row>
    <row r="784" spans="26:57">
      <c r="Z784" s="20">
        <v>783</v>
      </c>
      <c r="AA784" s="28">
        <v>1</v>
      </c>
      <c r="AB784" s="28">
        <v>1</v>
      </c>
      <c r="AC784" s="29">
        <v>1</v>
      </c>
      <c r="AD784" s="30">
        <v>12140</v>
      </c>
      <c r="BA784">
        <v>783</v>
      </c>
      <c r="BB784" s="28">
        <v>1</v>
      </c>
      <c r="BC784" s="28">
        <v>1</v>
      </c>
      <c r="BD784" s="29">
        <v>1</v>
      </c>
      <c r="BE784" s="30">
        <v>16660</v>
      </c>
    </row>
    <row r="785" spans="26:57">
      <c r="Z785" s="20">
        <v>784</v>
      </c>
      <c r="AA785" s="28">
        <v>1</v>
      </c>
      <c r="AB785" s="28">
        <v>1</v>
      </c>
      <c r="AC785" s="29">
        <v>1</v>
      </c>
      <c r="AD785" s="30">
        <v>13200</v>
      </c>
      <c r="BA785">
        <v>784</v>
      </c>
      <c r="BB785" s="28">
        <v>1</v>
      </c>
      <c r="BC785" s="28">
        <v>0</v>
      </c>
      <c r="BD785" s="29">
        <v>0.99</v>
      </c>
      <c r="BE785" s="30">
        <v>17980</v>
      </c>
    </row>
    <row r="786" spans="26:57">
      <c r="Z786" s="20">
        <v>785</v>
      </c>
      <c r="AA786" s="28">
        <v>1</v>
      </c>
      <c r="AB786" s="28">
        <v>1</v>
      </c>
      <c r="AC786" s="29">
        <v>1</v>
      </c>
      <c r="AD786" s="30">
        <v>13860</v>
      </c>
      <c r="BA786">
        <v>785</v>
      </c>
      <c r="BB786" s="28">
        <v>1</v>
      </c>
      <c r="BC786" s="28">
        <v>1</v>
      </c>
      <c r="BD786" s="29">
        <v>1</v>
      </c>
      <c r="BE786" s="30">
        <v>16480</v>
      </c>
    </row>
    <row r="787" spans="26:57">
      <c r="Z787" s="20">
        <v>786</v>
      </c>
      <c r="AA787" s="28">
        <v>1</v>
      </c>
      <c r="AB787" s="28">
        <v>1</v>
      </c>
      <c r="AC787" s="29">
        <v>1</v>
      </c>
      <c r="AD787" s="30">
        <v>13520</v>
      </c>
      <c r="BA787">
        <v>786</v>
      </c>
      <c r="BB787" s="28">
        <v>1</v>
      </c>
      <c r="BC787" s="28">
        <v>1</v>
      </c>
      <c r="BD787" s="29">
        <v>1</v>
      </c>
      <c r="BE787" s="30">
        <v>16920</v>
      </c>
    </row>
    <row r="788" spans="26:57">
      <c r="Z788" s="20">
        <v>787</v>
      </c>
      <c r="AA788" s="28">
        <v>1</v>
      </c>
      <c r="AB788" s="28">
        <v>1</v>
      </c>
      <c r="AC788" s="29">
        <v>1</v>
      </c>
      <c r="AD788" s="30">
        <v>12050</v>
      </c>
      <c r="BA788">
        <v>787</v>
      </c>
      <c r="BB788" s="28">
        <v>1</v>
      </c>
      <c r="BC788" s="28">
        <v>0</v>
      </c>
      <c r="BD788" s="29">
        <v>0.99</v>
      </c>
      <c r="BE788" s="30">
        <v>20350</v>
      </c>
    </row>
    <row r="789" spans="26:57">
      <c r="Z789" s="20">
        <v>788</v>
      </c>
      <c r="AA789" s="28">
        <v>1</v>
      </c>
      <c r="AB789" s="28">
        <v>1</v>
      </c>
      <c r="AC789" s="29">
        <v>1</v>
      </c>
      <c r="AD789" s="30">
        <v>11740</v>
      </c>
      <c r="BA789">
        <v>788</v>
      </c>
      <c r="BB789" s="28">
        <v>1</v>
      </c>
      <c r="BC789" s="28">
        <v>0</v>
      </c>
      <c r="BD789" s="29">
        <v>0.99</v>
      </c>
      <c r="BE789" s="30">
        <v>17800</v>
      </c>
    </row>
    <row r="790" spans="26:57">
      <c r="Z790" s="20">
        <v>789</v>
      </c>
      <c r="AA790" s="28">
        <v>1</v>
      </c>
      <c r="AB790" s="28">
        <v>1</v>
      </c>
      <c r="AC790" s="29">
        <v>1</v>
      </c>
      <c r="AD790" s="30">
        <v>11780</v>
      </c>
      <c r="BA790">
        <v>789</v>
      </c>
      <c r="BB790" s="28">
        <v>1</v>
      </c>
      <c r="BC790" s="28">
        <v>0</v>
      </c>
      <c r="BD790" s="29">
        <v>0.97</v>
      </c>
      <c r="BE790" s="30">
        <v>20160</v>
      </c>
    </row>
    <row r="791" spans="26:57">
      <c r="Z791" s="20">
        <v>790</v>
      </c>
      <c r="AA791" s="28">
        <v>1</v>
      </c>
      <c r="AB791" s="28">
        <v>1</v>
      </c>
      <c r="AC791" s="29">
        <v>1</v>
      </c>
      <c r="AD791" s="30">
        <v>12810</v>
      </c>
      <c r="BA791">
        <v>790</v>
      </c>
      <c r="BB791" s="28">
        <v>1</v>
      </c>
      <c r="BC791" s="28">
        <v>1</v>
      </c>
      <c r="BD791" s="29">
        <v>1</v>
      </c>
      <c r="BE791" s="30">
        <v>17190</v>
      </c>
    </row>
    <row r="792" spans="26:57">
      <c r="Z792" s="20">
        <v>791</v>
      </c>
      <c r="AA792" s="28">
        <v>1</v>
      </c>
      <c r="AB792" s="28">
        <v>1</v>
      </c>
      <c r="AC792" s="29">
        <v>1</v>
      </c>
      <c r="AD792" s="30">
        <v>12630</v>
      </c>
      <c r="BA792">
        <v>791</v>
      </c>
      <c r="BB792" s="28">
        <v>1</v>
      </c>
      <c r="BC792" s="28">
        <v>0</v>
      </c>
      <c r="BD792" s="29">
        <v>0.98</v>
      </c>
      <c r="BE792" s="30">
        <v>17850</v>
      </c>
    </row>
    <row r="793" spans="26:57">
      <c r="Z793" s="20">
        <v>792</v>
      </c>
      <c r="AA793" s="28">
        <v>1</v>
      </c>
      <c r="AB793" s="28">
        <v>1</v>
      </c>
      <c r="AC793" s="29">
        <v>1</v>
      </c>
      <c r="AD793" s="30">
        <v>11870</v>
      </c>
      <c r="BA793">
        <v>792</v>
      </c>
      <c r="BB793" s="28">
        <v>1</v>
      </c>
      <c r="BC793" s="28">
        <v>1</v>
      </c>
      <c r="BD793" s="29">
        <v>1</v>
      </c>
      <c r="BE793" s="30">
        <v>17270</v>
      </c>
    </row>
    <row r="794" spans="26:57">
      <c r="Z794" s="20">
        <v>793</v>
      </c>
      <c r="AA794" s="28">
        <v>1</v>
      </c>
      <c r="AB794" s="28">
        <v>1</v>
      </c>
      <c r="AC794" s="29">
        <v>1</v>
      </c>
      <c r="AD794" s="30">
        <v>13950</v>
      </c>
      <c r="BA794">
        <v>793</v>
      </c>
      <c r="BB794" s="28">
        <v>1</v>
      </c>
      <c r="BC794" s="28">
        <v>1</v>
      </c>
      <c r="BD794" s="29">
        <v>1</v>
      </c>
      <c r="BE794" s="30">
        <v>15160</v>
      </c>
    </row>
    <row r="795" spans="26:57">
      <c r="Z795" s="20">
        <v>794</v>
      </c>
      <c r="AA795" s="28">
        <v>1</v>
      </c>
      <c r="AB795" s="28">
        <v>1</v>
      </c>
      <c r="AC795" s="29">
        <v>1</v>
      </c>
      <c r="AD795" s="30">
        <v>12110</v>
      </c>
      <c r="BA795">
        <v>794</v>
      </c>
      <c r="BB795" s="28">
        <v>1</v>
      </c>
      <c r="BC795" s="28">
        <v>0</v>
      </c>
      <c r="BD795" s="29">
        <v>0.98</v>
      </c>
      <c r="BE795" s="30">
        <v>19100</v>
      </c>
    </row>
    <row r="796" spans="26:57">
      <c r="Z796" s="20">
        <v>795</v>
      </c>
      <c r="AA796" s="28">
        <v>1</v>
      </c>
      <c r="AB796" s="28">
        <v>1</v>
      </c>
      <c r="AC796" s="29">
        <v>1</v>
      </c>
      <c r="AD796" s="30">
        <v>14050</v>
      </c>
      <c r="BA796">
        <v>795</v>
      </c>
      <c r="BB796" s="28">
        <v>1</v>
      </c>
      <c r="BC796" s="28">
        <v>1</v>
      </c>
      <c r="BD796" s="29">
        <v>1</v>
      </c>
      <c r="BE796" s="30">
        <v>15040</v>
      </c>
    </row>
    <row r="797" spans="26:57">
      <c r="Z797" s="20">
        <v>796</v>
      </c>
      <c r="AA797" s="28">
        <v>1</v>
      </c>
      <c r="AB797" s="28">
        <v>1</v>
      </c>
      <c r="AC797" s="29">
        <v>1</v>
      </c>
      <c r="AD797" s="30">
        <v>12020</v>
      </c>
      <c r="BA797">
        <v>796</v>
      </c>
      <c r="BB797" s="28">
        <v>1</v>
      </c>
      <c r="BC797" s="28">
        <v>0</v>
      </c>
      <c r="BD797" s="29">
        <v>0.99</v>
      </c>
      <c r="BE797" s="30">
        <v>14970</v>
      </c>
    </row>
    <row r="798" spans="26:57">
      <c r="Z798" s="20">
        <v>797</v>
      </c>
      <c r="AA798" s="28">
        <v>1</v>
      </c>
      <c r="AB798" s="28">
        <v>1</v>
      </c>
      <c r="AC798" s="29">
        <v>1</v>
      </c>
      <c r="AD798" s="30">
        <v>12810</v>
      </c>
      <c r="BA798">
        <v>797</v>
      </c>
      <c r="BB798" s="28">
        <v>1</v>
      </c>
      <c r="BC798" s="28">
        <v>1</v>
      </c>
      <c r="BD798" s="29">
        <v>1</v>
      </c>
      <c r="BE798" s="30">
        <v>17030</v>
      </c>
    </row>
    <row r="799" spans="26:57">
      <c r="Z799" s="20">
        <v>798</v>
      </c>
      <c r="AA799" s="28">
        <v>1</v>
      </c>
      <c r="AB799" s="28">
        <v>1</v>
      </c>
      <c r="AC799" s="29">
        <v>1</v>
      </c>
      <c r="AD799" s="30">
        <v>13010</v>
      </c>
      <c r="BA799">
        <v>798</v>
      </c>
      <c r="BB799" s="28">
        <v>1</v>
      </c>
      <c r="BC799" s="28">
        <v>0</v>
      </c>
      <c r="BD799" s="29">
        <v>0.99</v>
      </c>
      <c r="BE799" s="30">
        <v>20940</v>
      </c>
    </row>
    <row r="800" spans="26:57">
      <c r="Z800" s="20">
        <v>799</v>
      </c>
      <c r="AA800" s="28">
        <v>1</v>
      </c>
      <c r="AB800" s="28">
        <v>1</v>
      </c>
      <c r="AC800" s="29">
        <v>1</v>
      </c>
      <c r="AD800" s="30">
        <v>12600</v>
      </c>
      <c r="BA800">
        <v>799</v>
      </c>
      <c r="BB800" s="28">
        <v>1</v>
      </c>
      <c r="BC800" s="28">
        <v>1</v>
      </c>
      <c r="BD800" s="29">
        <v>1</v>
      </c>
      <c r="BE800" s="30">
        <v>16010</v>
      </c>
    </row>
    <row r="801" spans="26:57">
      <c r="Z801" s="20">
        <v>800</v>
      </c>
      <c r="AA801" s="28">
        <v>1</v>
      </c>
      <c r="AB801" s="28">
        <v>1</v>
      </c>
      <c r="AC801" s="29">
        <v>1</v>
      </c>
      <c r="AD801" s="30">
        <v>11780</v>
      </c>
      <c r="BA801">
        <v>800</v>
      </c>
      <c r="BB801" s="28">
        <v>1</v>
      </c>
      <c r="BC801" s="28">
        <v>0</v>
      </c>
      <c r="BD801" s="29">
        <v>0.99</v>
      </c>
      <c r="BE801" s="30">
        <v>17230</v>
      </c>
    </row>
    <row r="802" spans="26:57">
      <c r="Z802" s="20">
        <v>801</v>
      </c>
      <c r="AA802" s="28">
        <v>1</v>
      </c>
      <c r="AB802" s="28">
        <v>1</v>
      </c>
      <c r="AC802" s="29">
        <v>1</v>
      </c>
      <c r="AD802" s="30">
        <v>15740</v>
      </c>
      <c r="BA802">
        <v>801</v>
      </c>
      <c r="BB802" s="28">
        <v>1</v>
      </c>
      <c r="BC802" s="28">
        <v>0</v>
      </c>
      <c r="BD802" s="29">
        <v>0.98</v>
      </c>
      <c r="BE802" s="30">
        <v>21330</v>
      </c>
    </row>
    <row r="803" spans="26:57">
      <c r="Z803" s="20">
        <v>802</v>
      </c>
      <c r="AA803" s="28">
        <v>1</v>
      </c>
      <c r="AB803" s="28">
        <v>1</v>
      </c>
      <c r="AC803" s="29">
        <v>1</v>
      </c>
      <c r="AD803" s="30">
        <v>10690</v>
      </c>
      <c r="BA803">
        <v>802</v>
      </c>
      <c r="BB803" s="28">
        <v>1</v>
      </c>
      <c r="BC803" s="28">
        <v>0</v>
      </c>
      <c r="BD803" s="29">
        <v>0.99</v>
      </c>
      <c r="BE803" s="30">
        <v>19620</v>
      </c>
    </row>
    <row r="804" spans="26:57">
      <c r="Z804" s="20">
        <v>803</v>
      </c>
      <c r="AA804" s="28">
        <v>1</v>
      </c>
      <c r="AB804" s="28">
        <v>1</v>
      </c>
      <c r="AC804" s="29">
        <v>1</v>
      </c>
      <c r="AD804" s="30">
        <v>13820</v>
      </c>
      <c r="BA804">
        <v>803</v>
      </c>
      <c r="BB804" s="28">
        <v>1</v>
      </c>
      <c r="BC804" s="28">
        <v>1</v>
      </c>
      <c r="BD804" s="29">
        <v>1</v>
      </c>
      <c r="BE804" s="30">
        <v>15700</v>
      </c>
    </row>
    <row r="805" spans="26:57">
      <c r="Z805" s="20">
        <v>804</v>
      </c>
      <c r="AA805" s="28">
        <v>1</v>
      </c>
      <c r="AB805" s="28">
        <v>1</v>
      </c>
      <c r="AC805" s="29">
        <v>1</v>
      </c>
      <c r="AD805" s="30">
        <v>12270</v>
      </c>
      <c r="BA805">
        <v>804</v>
      </c>
      <c r="BB805" s="28">
        <v>1</v>
      </c>
      <c r="BC805" s="28">
        <v>1</v>
      </c>
      <c r="BD805" s="29">
        <v>1</v>
      </c>
      <c r="BE805" s="30">
        <v>14200</v>
      </c>
    </row>
    <row r="806" spans="26:57">
      <c r="Z806" s="20">
        <v>805</v>
      </c>
      <c r="AA806" s="28">
        <v>1</v>
      </c>
      <c r="AB806" s="28">
        <v>1</v>
      </c>
      <c r="AC806" s="29">
        <v>1</v>
      </c>
      <c r="AD806" s="30">
        <v>12220</v>
      </c>
      <c r="BA806">
        <v>805</v>
      </c>
      <c r="BB806" s="28">
        <v>1</v>
      </c>
      <c r="BC806" s="28">
        <v>1</v>
      </c>
      <c r="BD806" s="29">
        <v>1</v>
      </c>
      <c r="BE806" s="30">
        <v>17230</v>
      </c>
    </row>
    <row r="807" spans="26:57">
      <c r="Z807" s="20">
        <v>806</v>
      </c>
      <c r="AA807" s="28">
        <v>1</v>
      </c>
      <c r="AB807" s="28">
        <v>1</v>
      </c>
      <c r="AC807" s="29">
        <v>1</v>
      </c>
      <c r="AD807" s="30">
        <v>11450</v>
      </c>
      <c r="BA807">
        <v>806</v>
      </c>
      <c r="BB807" s="28">
        <v>1</v>
      </c>
      <c r="BC807" s="28">
        <v>0</v>
      </c>
      <c r="BD807" s="29">
        <v>0.99</v>
      </c>
      <c r="BE807" s="30">
        <v>16230</v>
      </c>
    </row>
    <row r="808" spans="26:57">
      <c r="Z808" s="20">
        <v>807</v>
      </c>
      <c r="AA808" s="28">
        <v>1</v>
      </c>
      <c r="AB808" s="28">
        <v>1</v>
      </c>
      <c r="AC808" s="29">
        <v>1</v>
      </c>
      <c r="AD808" s="30">
        <v>10980</v>
      </c>
      <c r="BA808">
        <v>807</v>
      </c>
      <c r="BB808" s="28">
        <v>1</v>
      </c>
      <c r="BC808" s="28">
        <v>1</v>
      </c>
      <c r="BD808" s="29">
        <v>1</v>
      </c>
      <c r="BE808" s="30">
        <v>16530</v>
      </c>
    </row>
    <row r="809" spans="26:57">
      <c r="Z809" s="20">
        <v>808</v>
      </c>
      <c r="AA809" s="28">
        <v>1</v>
      </c>
      <c r="AB809" s="28">
        <v>1</v>
      </c>
      <c r="AC809" s="29">
        <v>1</v>
      </c>
      <c r="AD809" s="30">
        <v>11220</v>
      </c>
      <c r="BA809">
        <v>808</v>
      </c>
      <c r="BB809" s="28">
        <v>1</v>
      </c>
      <c r="BC809" s="28">
        <v>1</v>
      </c>
      <c r="BD809" s="29">
        <v>1</v>
      </c>
      <c r="BE809" s="30">
        <v>17950</v>
      </c>
    </row>
    <row r="810" spans="26:57">
      <c r="Z810" s="20">
        <v>809</v>
      </c>
      <c r="AA810" s="28">
        <v>1</v>
      </c>
      <c r="AB810" s="28">
        <v>1</v>
      </c>
      <c r="AC810" s="29">
        <v>1</v>
      </c>
      <c r="AD810" s="30">
        <v>13210</v>
      </c>
      <c r="BA810">
        <v>809</v>
      </c>
      <c r="BB810" s="28">
        <v>1</v>
      </c>
      <c r="BC810" s="28">
        <v>1</v>
      </c>
      <c r="BD810" s="29">
        <v>1</v>
      </c>
      <c r="BE810" s="30">
        <v>18330</v>
      </c>
    </row>
    <row r="811" spans="26:57">
      <c r="Z811" s="20">
        <v>810</v>
      </c>
      <c r="AA811" s="28">
        <v>1</v>
      </c>
      <c r="AB811" s="28">
        <v>1</v>
      </c>
      <c r="AC811" s="29">
        <v>1</v>
      </c>
      <c r="AD811" s="30">
        <v>13830</v>
      </c>
      <c r="BA811">
        <v>810</v>
      </c>
      <c r="BB811" s="28">
        <v>1</v>
      </c>
      <c r="BC811" s="28">
        <v>1</v>
      </c>
      <c r="BD811" s="29">
        <v>1</v>
      </c>
      <c r="BE811" s="30">
        <v>19080</v>
      </c>
    </row>
    <row r="812" spans="26:57">
      <c r="Z812" s="20">
        <v>811</v>
      </c>
      <c r="AA812" s="28">
        <v>1</v>
      </c>
      <c r="AB812" s="28">
        <v>1</v>
      </c>
      <c r="AC812" s="29">
        <v>1</v>
      </c>
      <c r="AD812" s="30">
        <v>11720</v>
      </c>
      <c r="BA812">
        <v>811</v>
      </c>
      <c r="BB812" s="28">
        <v>1</v>
      </c>
      <c r="BC812" s="28">
        <v>1</v>
      </c>
      <c r="BD812" s="29">
        <v>1</v>
      </c>
      <c r="BE812" s="30">
        <v>18380</v>
      </c>
    </row>
    <row r="813" spans="26:57">
      <c r="Z813" s="20">
        <v>812</v>
      </c>
      <c r="AA813" s="28">
        <v>1</v>
      </c>
      <c r="AB813" s="28">
        <v>1</v>
      </c>
      <c r="AC813" s="29">
        <v>1</v>
      </c>
      <c r="AD813" s="30">
        <v>11130</v>
      </c>
      <c r="BA813">
        <v>812</v>
      </c>
      <c r="BB813" s="28">
        <v>1</v>
      </c>
      <c r="BC813" s="28">
        <v>0</v>
      </c>
      <c r="BD813" s="29">
        <v>0.98</v>
      </c>
      <c r="BE813" s="30">
        <v>17720</v>
      </c>
    </row>
    <row r="814" spans="26:57">
      <c r="Z814" s="20">
        <v>813</v>
      </c>
      <c r="AA814" s="28">
        <v>1</v>
      </c>
      <c r="AB814" s="28">
        <v>1</v>
      </c>
      <c r="AC814" s="29">
        <v>1</v>
      </c>
      <c r="AD814" s="30">
        <v>12640</v>
      </c>
      <c r="BA814">
        <v>813</v>
      </c>
      <c r="BB814" s="28">
        <v>1</v>
      </c>
      <c r="BC814" s="28">
        <v>0</v>
      </c>
      <c r="BD814" s="29">
        <v>0.99</v>
      </c>
      <c r="BE814" s="30">
        <v>16650</v>
      </c>
    </row>
    <row r="815" spans="26:57">
      <c r="Z815" s="20">
        <v>814</v>
      </c>
      <c r="AA815" s="28">
        <v>0</v>
      </c>
      <c r="AB815" s="28">
        <v>0</v>
      </c>
      <c r="AC815" s="29">
        <v>1</v>
      </c>
      <c r="AD815" s="30">
        <v>15100</v>
      </c>
      <c r="BA815">
        <v>814</v>
      </c>
      <c r="BB815" s="28">
        <v>1</v>
      </c>
      <c r="BC815" s="28">
        <v>1</v>
      </c>
      <c r="BD815" s="29">
        <v>1</v>
      </c>
      <c r="BE815" s="30">
        <v>17220</v>
      </c>
    </row>
    <row r="816" spans="26:57">
      <c r="Z816" s="20">
        <v>815</v>
      </c>
      <c r="AA816" s="28">
        <v>1</v>
      </c>
      <c r="AB816" s="28">
        <v>1</v>
      </c>
      <c r="AC816" s="29">
        <v>1</v>
      </c>
      <c r="AD816" s="30">
        <v>12080</v>
      </c>
      <c r="BA816">
        <v>815</v>
      </c>
      <c r="BB816" s="28">
        <v>1</v>
      </c>
      <c r="BC816" s="28">
        <v>1</v>
      </c>
      <c r="BD816" s="29">
        <v>1</v>
      </c>
      <c r="BE816" s="30">
        <v>18070</v>
      </c>
    </row>
    <row r="817" spans="26:57">
      <c r="Z817" s="20">
        <v>816</v>
      </c>
      <c r="AA817" s="28">
        <v>1</v>
      </c>
      <c r="AB817" s="28">
        <v>1</v>
      </c>
      <c r="AC817" s="29">
        <v>1</v>
      </c>
      <c r="AD817" s="30">
        <v>13760</v>
      </c>
      <c r="BA817">
        <v>816</v>
      </c>
      <c r="BB817" s="28">
        <v>1</v>
      </c>
      <c r="BC817" s="28">
        <v>1</v>
      </c>
      <c r="BD817" s="29">
        <v>1</v>
      </c>
      <c r="BE817" s="30">
        <v>19040</v>
      </c>
    </row>
    <row r="818" spans="26:57">
      <c r="Z818" s="20">
        <v>817</v>
      </c>
      <c r="AA818" s="28">
        <v>1</v>
      </c>
      <c r="AB818" s="28">
        <v>1</v>
      </c>
      <c r="AC818" s="29">
        <v>1</v>
      </c>
      <c r="AD818" s="30">
        <v>12270</v>
      </c>
      <c r="BA818">
        <v>817</v>
      </c>
      <c r="BB818" s="28">
        <v>1</v>
      </c>
      <c r="BC818" s="28">
        <v>1</v>
      </c>
      <c r="BD818" s="29">
        <v>1</v>
      </c>
      <c r="BE818" s="30">
        <v>15460</v>
      </c>
    </row>
    <row r="819" spans="26:57">
      <c r="Z819" s="20">
        <v>818</v>
      </c>
      <c r="AA819" s="28">
        <v>1</v>
      </c>
      <c r="AB819" s="28">
        <v>1</v>
      </c>
      <c r="AC819" s="29">
        <v>1</v>
      </c>
      <c r="AD819" s="30">
        <v>10880</v>
      </c>
      <c r="BA819">
        <v>818</v>
      </c>
      <c r="BB819" s="28">
        <v>1</v>
      </c>
      <c r="BC819" s="28">
        <v>0</v>
      </c>
      <c r="BD819" s="29">
        <v>0.99</v>
      </c>
      <c r="BE819" s="30">
        <v>15710</v>
      </c>
    </row>
    <row r="820" spans="26:57">
      <c r="Z820" s="20">
        <v>819</v>
      </c>
      <c r="AA820" s="28">
        <v>1</v>
      </c>
      <c r="AB820" s="28">
        <v>1</v>
      </c>
      <c r="AC820" s="29">
        <v>1</v>
      </c>
      <c r="AD820" s="30">
        <v>11110</v>
      </c>
      <c r="BA820">
        <v>819</v>
      </c>
      <c r="BB820" s="28">
        <v>1</v>
      </c>
      <c r="BC820" s="28">
        <v>0</v>
      </c>
      <c r="BD820" s="29">
        <v>0.99</v>
      </c>
      <c r="BE820" s="30">
        <v>17720</v>
      </c>
    </row>
    <row r="821" spans="26:57">
      <c r="Z821" s="20">
        <v>820</v>
      </c>
      <c r="AA821" s="28">
        <v>1</v>
      </c>
      <c r="AB821" s="28">
        <v>1</v>
      </c>
      <c r="AC821" s="29">
        <v>1</v>
      </c>
      <c r="AD821" s="30">
        <v>13280</v>
      </c>
      <c r="BA821">
        <v>820</v>
      </c>
      <c r="BB821" s="28">
        <v>1</v>
      </c>
      <c r="BC821" s="28">
        <v>0</v>
      </c>
      <c r="BD821" s="29">
        <v>0.98</v>
      </c>
      <c r="BE821" s="30">
        <v>16750</v>
      </c>
    </row>
    <row r="822" spans="26:57">
      <c r="Z822" s="20">
        <v>821</v>
      </c>
      <c r="AA822" s="28">
        <v>1</v>
      </c>
      <c r="AB822" s="28">
        <v>1</v>
      </c>
      <c r="AC822" s="29">
        <v>1</v>
      </c>
      <c r="AD822" s="30">
        <v>11640</v>
      </c>
      <c r="BA822">
        <v>821</v>
      </c>
      <c r="BB822" s="28">
        <v>1</v>
      </c>
      <c r="BC822" s="28">
        <v>1</v>
      </c>
      <c r="BD822" s="29">
        <v>1</v>
      </c>
      <c r="BE822" s="30">
        <v>19330</v>
      </c>
    </row>
    <row r="823" spans="26:57">
      <c r="Z823" s="20">
        <v>822</v>
      </c>
      <c r="AA823" s="28">
        <v>1</v>
      </c>
      <c r="AB823" s="28">
        <v>1</v>
      </c>
      <c r="AC823" s="29">
        <v>1</v>
      </c>
      <c r="AD823" s="30">
        <v>12320</v>
      </c>
      <c r="BA823">
        <v>822</v>
      </c>
      <c r="BB823" s="28">
        <v>1</v>
      </c>
      <c r="BC823" s="28">
        <v>0</v>
      </c>
      <c r="BD823" s="29">
        <v>0.99</v>
      </c>
      <c r="BE823" s="30">
        <v>19190</v>
      </c>
    </row>
    <row r="824" spans="26:57">
      <c r="Z824" s="20">
        <v>823</v>
      </c>
      <c r="AA824" s="28">
        <v>1</v>
      </c>
      <c r="AB824" s="28">
        <v>1</v>
      </c>
      <c r="AC824" s="29">
        <v>1</v>
      </c>
      <c r="AD824" s="30">
        <v>12470</v>
      </c>
      <c r="BA824">
        <v>823</v>
      </c>
      <c r="BB824" s="28">
        <v>1</v>
      </c>
      <c r="BC824" s="28">
        <v>0</v>
      </c>
      <c r="BD824" s="29">
        <v>0.98</v>
      </c>
      <c r="BE824" s="30">
        <v>18660</v>
      </c>
    </row>
    <row r="825" spans="26:57">
      <c r="Z825" s="20">
        <v>824</v>
      </c>
      <c r="AA825" s="28">
        <v>1</v>
      </c>
      <c r="AB825" s="28">
        <v>1</v>
      </c>
      <c r="AC825" s="29">
        <v>1</v>
      </c>
      <c r="AD825" s="30">
        <v>11540</v>
      </c>
      <c r="BA825">
        <v>824</v>
      </c>
      <c r="BB825" s="28">
        <v>1</v>
      </c>
      <c r="BC825" s="28">
        <v>1</v>
      </c>
      <c r="BD825" s="29">
        <v>1</v>
      </c>
      <c r="BE825" s="30">
        <v>16460</v>
      </c>
    </row>
    <row r="826" spans="26:57">
      <c r="Z826" s="20">
        <v>825</v>
      </c>
      <c r="AA826" s="28">
        <v>1</v>
      </c>
      <c r="AB826" s="28">
        <v>1</v>
      </c>
      <c r="AC826" s="29">
        <v>1</v>
      </c>
      <c r="AD826" s="30">
        <v>12960</v>
      </c>
      <c r="BA826">
        <v>825</v>
      </c>
      <c r="BB826" s="28">
        <v>1</v>
      </c>
      <c r="BC826" s="28">
        <v>1</v>
      </c>
      <c r="BD826" s="29">
        <v>1</v>
      </c>
      <c r="BE826" s="30">
        <v>15950</v>
      </c>
    </row>
    <row r="827" spans="26:57">
      <c r="Z827" s="20">
        <v>826</v>
      </c>
      <c r="AA827" s="28">
        <v>1</v>
      </c>
      <c r="AB827" s="28">
        <v>1</v>
      </c>
      <c r="AC827" s="29">
        <v>1</v>
      </c>
      <c r="AD827" s="30">
        <v>10890</v>
      </c>
      <c r="BA827">
        <v>826</v>
      </c>
      <c r="BB827" s="28">
        <v>1</v>
      </c>
      <c r="BC827" s="28">
        <v>1</v>
      </c>
      <c r="BD827" s="29">
        <v>1</v>
      </c>
      <c r="BE827" s="30">
        <v>18340</v>
      </c>
    </row>
    <row r="828" spans="26:57">
      <c r="Z828" s="20">
        <v>827</v>
      </c>
      <c r="AA828" s="28">
        <v>1</v>
      </c>
      <c r="AB828" s="28">
        <v>1</v>
      </c>
      <c r="AC828" s="29">
        <v>1</v>
      </c>
      <c r="AD828" s="30">
        <v>10300</v>
      </c>
      <c r="BA828">
        <v>827</v>
      </c>
      <c r="BB828" s="28">
        <v>1</v>
      </c>
      <c r="BC828" s="28">
        <v>0</v>
      </c>
      <c r="BD828" s="29">
        <v>0.99</v>
      </c>
      <c r="BE828" s="30">
        <v>17580</v>
      </c>
    </row>
    <row r="829" spans="26:57">
      <c r="Z829" s="20">
        <v>828</v>
      </c>
      <c r="AA829" s="28">
        <v>1</v>
      </c>
      <c r="AB829" s="28">
        <v>1</v>
      </c>
      <c r="AC829" s="29">
        <v>1</v>
      </c>
      <c r="AD829" s="30">
        <v>13040</v>
      </c>
      <c r="BA829">
        <v>828</v>
      </c>
      <c r="BB829" s="28">
        <v>1</v>
      </c>
      <c r="BC829" s="28">
        <v>0</v>
      </c>
      <c r="BD829" s="29">
        <v>0.97</v>
      </c>
      <c r="BE829" s="30">
        <v>17760</v>
      </c>
    </row>
    <row r="830" spans="26:57">
      <c r="Z830" s="20">
        <v>829</v>
      </c>
      <c r="AA830" s="28">
        <v>1</v>
      </c>
      <c r="AB830" s="28">
        <v>1</v>
      </c>
      <c r="AC830" s="29">
        <v>1</v>
      </c>
      <c r="AD830" s="30">
        <v>11650</v>
      </c>
      <c r="BA830">
        <v>829</v>
      </c>
      <c r="BB830" s="28">
        <v>1</v>
      </c>
      <c r="BC830" s="28">
        <v>1</v>
      </c>
      <c r="BD830" s="29">
        <v>1</v>
      </c>
      <c r="BE830" s="30">
        <v>16260</v>
      </c>
    </row>
    <row r="831" spans="26:57">
      <c r="Z831" s="20">
        <v>830</v>
      </c>
      <c r="AA831" s="28">
        <v>1</v>
      </c>
      <c r="AB831" s="28">
        <v>1</v>
      </c>
      <c r="AC831" s="29">
        <v>1</v>
      </c>
      <c r="AD831" s="30">
        <v>13540</v>
      </c>
      <c r="BA831">
        <v>830</v>
      </c>
      <c r="BB831" s="28">
        <v>1</v>
      </c>
      <c r="BC831" s="28">
        <v>0</v>
      </c>
      <c r="BD831" s="29">
        <v>0.99</v>
      </c>
      <c r="BE831" s="30">
        <v>17950</v>
      </c>
    </row>
    <row r="832" spans="26:57">
      <c r="Z832" s="20">
        <v>831</v>
      </c>
      <c r="AA832" s="28">
        <v>1</v>
      </c>
      <c r="AB832" s="28">
        <v>1</v>
      </c>
      <c r="AC832" s="29">
        <v>1</v>
      </c>
      <c r="AD832" s="30">
        <v>12100</v>
      </c>
      <c r="BA832">
        <v>831</v>
      </c>
      <c r="BB832" s="28">
        <v>1</v>
      </c>
      <c r="BC832" s="28">
        <v>1</v>
      </c>
      <c r="BD832" s="29">
        <v>1</v>
      </c>
      <c r="BE832" s="30">
        <v>16540</v>
      </c>
    </row>
    <row r="833" spans="26:57">
      <c r="Z833" s="20">
        <v>832</v>
      </c>
      <c r="AA833" s="28">
        <v>1</v>
      </c>
      <c r="AB833" s="28">
        <v>1</v>
      </c>
      <c r="AC833" s="29">
        <v>1</v>
      </c>
      <c r="AD833" s="30">
        <v>12110</v>
      </c>
      <c r="BA833">
        <v>832</v>
      </c>
      <c r="BB833" s="28">
        <v>1</v>
      </c>
      <c r="BC833" s="28">
        <v>1</v>
      </c>
      <c r="BD833" s="29">
        <v>1</v>
      </c>
      <c r="BE833" s="30">
        <v>18740</v>
      </c>
    </row>
    <row r="834" spans="26:57">
      <c r="Z834" s="20">
        <v>833</v>
      </c>
      <c r="AA834" s="28">
        <v>1</v>
      </c>
      <c r="AB834" s="28">
        <v>1</v>
      </c>
      <c r="AC834" s="29">
        <v>1</v>
      </c>
      <c r="AD834" s="30">
        <v>14200</v>
      </c>
      <c r="BA834">
        <v>833</v>
      </c>
      <c r="BB834" s="28">
        <v>1</v>
      </c>
      <c r="BC834" s="28">
        <v>1</v>
      </c>
      <c r="BD834" s="29">
        <v>1</v>
      </c>
      <c r="BE834" s="30">
        <v>15690</v>
      </c>
    </row>
    <row r="835" spans="26:57">
      <c r="Z835" s="20">
        <v>834</v>
      </c>
      <c r="AA835" s="28">
        <v>1</v>
      </c>
      <c r="AB835" s="28">
        <v>1</v>
      </c>
      <c r="AC835" s="29">
        <v>1</v>
      </c>
      <c r="AD835" s="30">
        <v>12930</v>
      </c>
      <c r="BA835">
        <v>834</v>
      </c>
      <c r="BB835" s="28">
        <v>1</v>
      </c>
      <c r="BC835" s="28">
        <v>1</v>
      </c>
      <c r="BD835" s="29">
        <v>1</v>
      </c>
      <c r="BE835" s="30">
        <v>18220</v>
      </c>
    </row>
    <row r="836" spans="26:57">
      <c r="Z836" s="20">
        <v>835</v>
      </c>
      <c r="AA836" s="28">
        <v>1</v>
      </c>
      <c r="AB836" s="28">
        <v>1</v>
      </c>
      <c r="AC836" s="29">
        <v>1</v>
      </c>
      <c r="AD836" s="30">
        <v>13380</v>
      </c>
      <c r="BA836">
        <v>835</v>
      </c>
      <c r="BB836" s="28">
        <v>1</v>
      </c>
      <c r="BC836" s="28">
        <v>1</v>
      </c>
      <c r="BD836" s="29">
        <v>1</v>
      </c>
      <c r="BE836" s="30">
        <v>16370</v>
      </c>
    </row>
    <row r="837" spans="26:57">
      <c r="Z837" s="20">
        <v>836</v>
      </c>
      <c r="AA837" s="28">
        <v>1</v>
      </c>
      <c r="AB837" s="28">
        <v>1</v>
      </c>
      <c r="AC837" s="29">
        <v>1</v>
      </c>
      <c r="AD837" s="30">
        <v>12110</v>
      </c>
      <c r="BA837">
        <v>836</v>
      </c>
      <c r="BB837" s="28">
        <v>1</v>
      </c>
      <c r="BC837" s="28">
        <v>0</v>
      </c>
      <c r="BD837" s="29">
        <v>0.99</v>
      </c>
      <c r="BE837" s="30">
        <v>17870</v>
      </c>
    </row>
    <row r="838" spans="26:57">
      <c r="Z838" s="20">
        <v>837</v>
      </c>
      <c r="AA838" s="28">
        <v>1</v>
      </c>
      <c r="AB838" s="28">
        <v>1</v>
      </c>
      <c r="AC838" s="29">
        <v>1</v>
      </c>
      <c r="AD838" s="30">
        <v>13020</v>
      </c>
      <c r="BA838">
        <v>837</v>
      </c>
      <c r="BB838" s="28">
        <v>1</v>
      </c>
      <c r="BC838" s="28">
        <v>1</v>
      </c>
      <c r="BD838" s="29">
        <v>1</v>
      </c>
      <c r="BE838" s="30">
        <v>16030</v>
      </c>
    </row>
    <row r="839" spans="26:57">
      <c r="Z839" s="20">
        <v>838</v>
      </c>
      <c r="AA839" s="28">
        <v>1</v>
      </c>
      <c r="AB839" s="28">
        <v>1</v>
      </c>
      <c r="AC839" s="29">
        <v>1</v>
      </c>
      <c r="AD839" s="30">
        <v>13530</v>
      </c>
      <c r="BA839">
        <v>838</v>
      </c>
      <c r="BB839" s="28">
        <v>1</v>
      </c>
      <c r="BC839" s="28">
        <v>0</v>
      </c>
      <c r="BD839" s="29">
        <v>0.98</v>
      </c>
      <c r="BE839" s="30">
        <v>19540</v>
      </c>
    </row>
    <row r="840" spans="26:57">
      <c r="Z840" s="20">
        <v>839</v>
      </c>
      <c r="AA840" s="28">
        <v>1</v>
      </c>
      <c r="AB840" s="28">
        <v>1</v>
      </c>
      <c r="AC840" s="29">
        <v>1</v>
      </c>
      <c r="AD840" s="30">
        <v>13670</v>
      </c>
      <c r="BA840">
        <v>839</v>
      </c>
      <c r="BB840" s="28">
        <v>1</v>
      </c>
      <c r="BC840" s="28">
        <v>1</v>
      </c>
      <c r="BD840" s="29">
        <v>1</v>
      </c>
      <c r="BE840" s="30">
        <v>14600</v>
      </c>
    </row>
    <row r="841" spans="26:57">
      <c r="Z841" s="20">
        <v>840</v>
      </c>
      <c r="AA841" s="28">
        <v>1</v>
      </c>
      <c r="AB841" s="28">
        <v>1</v>
      </c>
      <c r="AC841" s="29">
        <v>1</v>
      </c>
      <c r="AD841" s="30">
        <v>12900</v>
      </c>
      <c r="BA841">
        <v>840</v>
      </c>
      <c r="BB841" s="28">
        <v>1</v>
      </c>
      <c r="BC841" s="28">
        <v>0</v>
      </c>
      <c r="BD841" s="29">
        <v>0.99</v>
      </c>
      <c r="BE841" s="30">
        <v>17310</v>
      </c>
    </row>
    <row r="842" spans="26:57">
      <c r="Z842" s="20">
        <v>841</v>
      </c>
      <c r="AA842" s="28">
        <v>1</v>
      </c>
      <c r="AB842" s="28">
        <v>1</v>
      </c>
      <c r="AC842" s="29">
        <v>1</v>
      </c>
      <c r="AD842" s="30">
        <v>15160</v>
      </c>
      <c r="BA842">
        <v>841</v>
      </c>
      <c r="BB842" s="28">
        <v>1</v>
      </c>
      <c r="BC842" s="28">
        <v>1</v>
      </c>
      <c r="BD842" s="29">
        <v>1</v>
      </c>
      <c r="BE842" s="30">
        <v>15570</v>
      </c>
    </row>
    <row r="843" spans="26:57">
      <c r="Z843" s="20">
        <v>842</v>
      </c>
      <c r="AA843" s="28">
        <v>1</v>
      </c>
      <c r="AB843" s="28">
        <v>1</v>
      </c>
      <c r="AC843" s="29">
        <v>1</v>
      </c>
      <c r="AD843" s="30">
        <v>12820</v>
      </c>
      <c r="BA843">
        <v>842</v>
      </c>
      <c r="BB843" s="28">
        <v>1</v>
      </c>
      <c r="BC843" s="28">
        <v>1</v>
      </c>
      <c r="BD843" s="29">
        <v>1</v>
      </c>
      <c r="BE843" s="30">
        <v>20380</v>
      </c>
    </row>
    <row r="844" spans="26:57">
      <c r="Z844" s="20">
        <v>843</v>
      </c>
      <c r="AA844" s="28">
        <v>1</v>
      </c>
      <c r="AB844" s="28">
        <v>1</v>
      </c>
      <c r="AC844" s="29">
        <v>1</v>
      </c>
      <c r="AD844" s="30">
        <v>13080</v>
      </c>
      <c r="BA844">
        <v>843</v>
      </c>
      <c r="BB844" s="28">
        <v>1</v>
      </c>
      <c r="BC844" s="28">
        <v>1</v>
      </c>
      <c r="BD844" s="29">
        <v>1</v>
      </c>
      <c r="BE844" s="30">
        <v>18920</v>
      </c>
    </row>
    <row r="845" spans="26:57">
      <c r="Z845" s="20">
        <v>844</v>
      </c>
      <c r="AA845" s="28">
        <v>1</v>
      </c>
      <c r="AB845" s="28">
        <v>1</v>
      </c>
      <c r="AC845" s="29">
        <v>1</v>
      </c>
      <c r="AD845" s="30">
        <v>12470</v>
      </c>
      <c r="BA845">
        <v>844</v>
      </c>
      <c r="BB845" s="28">
        <v>1</v>
      </c>
      <c r="BC845" s="28">
        <v>1</v>
      </c>
      <c r="BD845" s="29">
        <v>1</v>
      </c>
      <c r="BE845" s="30">
        <v>17290</v>
      </c>
    </row>
    <row r="846" spans="26:57">
      <c r="Z846" s="20">
        <v>845</v>
      </c>
      <c r="AA846" s="28">
        <v>1</v>
      </c>
      <c r="AB846" s="28">
        <v>1</v>
      </c>
      <c r="AC846" s="29">
        <v>1</v>
      </c>
      <c r="AD846" s="30">
        <v>12070</v>
      </c>
      <c r="BA846">
        <v>845</v>
      </c>
      <c r="BB846" s="28">
        <v>1</v>
      </c>
      <c r="BC846" s="28">
        <v>1</v>
      </c>
      <c r="BD846" s="29">
        <v>1</v>
      </c>
      <c r="BE846" s="30">
        <v>18270</v>
      </c>
    </row>
    <row r="847" spans="26:57">
      <c r="Z847" s="20">
        <v>846</v>
      </c>
      <c r="AA847" s="28">
        <v>1</v>
      </c>
      <c r="AB847" s="28">
        <v>1</v>
      </c>
      <c r="AC847" s="29">
        <v>1</v>
      </c>
      <c r="AD847" s="30">
        <v>14210</v>
      </c>
      <c r="BA847">
        <v>846</v>
      </c>
      <c r="BB847" s="28">
        <v>1</v>
      </c>
      <c r="BC847" s="28">
        <v>0</v>
      </c>
      <c r="BD847" s="29">
        <v>0.99</v>
      </c>
      <c r="BE847" s="30">
        <v>17840</v>
      </c>
    </row>
    <row r="848" spans="26:57">
      <c r="Z848" s="20">
        <v>847</v>
      </c>
      <c r="AA848" s="28">
        <v>1</v>
      </c>
      <c r="AB848" s="28">
        <v>1</v>
      </c>
      <c r="AC848" s="29">
        <v>1</v>
      </c>
      <c r="AD848" s="30">
        <v>12780</v>
      </c>
      <c r="BA848">
        <v>847</v>
      </c>
      <c r="BB848" s="28">
        <v>1</v>
      </c>
      <c r="BC848" s="28">
        <v>0</v>
      </c>
      <c r="BD848" s="29">
        <v>0.99</v>
      </c>
      <c r="BE848" s="30">
        <v>15580</v>
      </c>
    </row>
    <row r="849" spans="26:57">
      <c r="Z849" s="20">
        <v>848</v>
      </c>
      <c r="AA849" s="28">
        <v>1</v>
      </c>
      <c r="AB849" s="28">
        <v>1</v>
      </c>
      <c r="AC849" s="29">
        <v>1</v>
      </c>
      <c r="AD849" s="30">
        <v>14560</v>
      </c>
      <c r="BA849">
        <v>848</v>
      </c>
      <c r="BB849" s="28">
        <v>1</v>
      </c>
      <c r="BC849" s="28">
        <v>1</v>
      </c>
      <c r="BD849" s="29">
        <v>1</v>
      </c>
      <c r="BE849" s="30">
        <v>17560</v>
      </c>
    </row>
    <row r="850" spans="26:57">
      <c r="Z850" s="20">
        <v>849</v>
      </c>
      <c r="AA850" s="28">
        <v>1</v>
      </c>
      <c r="AB850" s="28">
        <v>1</v>
      </c>
      <c r="AC850" s="29">
        <v>1</v>
      </c>
      <c r="AD850" s="30">
        <v>11250</v>
      </c>
      <c r="BA850">
        <v>849</v>
      </c>
      <c r="BB850" s="28">
        <v>1</v>
      </c>
      <c r="BC850" s="28">
        <v>0</v>
      </c>
      <c r="BD850" s="29">
        <v>0.98</v>
      </c>
      <c r="BE850" s="30">
        <v>16130</v>
      </c>
    </row>
    <row r="851" spans="26:57">
      <c r="Z851" s="20">
        <v>850</v>
      </c>
      <c r="AA851" s="28">
        <v>1</v>
      </c>
      <c r="AB851" s="28">
        <v>1</v>
      </c>
      <c r="AC851" s="29">
        <v>1</v>
      </c>
      <c r="AD851" s="30">
        <v>12760</v>
      </c>
      <c r="BA851">
        <v>850</v>
      </c>
      <c r="BB851" s="28">
        <v>1</v>
      </c>
      <c r="BC851" s="28">
        <v>1</v>
      </c>
      <c r="BD851" s="29">
        <v>1</v>
      </c>
      <c r="BE851" s="30">
        <v>15900</v>
      </c>
    </row>
    <row r="852" spans="26:57">
      <c r="Z852" s="20">
        <v>851</v>
      </c>
      <c r="AA852" s="28">
        <v>1</v>
      </c>
      <c r="AB852" s="28">
        <v>1</v>
      </c>
      <c r="AC852" s="29">
        <v>1</v>
      </c>
      <c r="AD852" s="30">
        <v>13120</v>
      </c>
      <c r="BA852">
        <v>851</v>
      </c>
      <c r="BB852" s="28">
        <v>1</v>
      </c>
      <c r="BC852" s="28">
        <v>0</v>
      </c>
      <c r="BD852" s="29">
        <v>0.98</v>
      </c>
      <c r="BE852" s="30">
        <v>17170</v>
      </c>
    </row>
    <row r="853" spans="26:57">
      <c r="Z853" s="20">
        <v>852</v>
      </c>
      <c r="AA853" s="28">
        <v>1</v>
      </c>
      <c r="AB853" s="28">
        <v>1</v>
      </c>
      <c r="AC853" s="29">
        <v>1</v>
      </c>
      <c r="AD853" s="30">
        <v>12480</v>
      </c>
      <c r="BA853">
        <v>852</v>
      </c>
      <c r="BB853" s="28">
        <v>1</v>
      </c>
      <c r="BC853" s="28">
        <v>0</v>
      </c>
      <c r="BD853" s="29">
        <v>0.99</v>
      </c>
      <c r="BE853" s="30">
        <v>17910</v>
      </c>
    </row>
    <row r="854" spans="26:57">
      <c r="Z854" s="20">
        <v>853</v>
      </c>
      <c r="AA854" s="28">
        <v>1</v>
      </c>
      <c r="AB854" s="28">
        <v>1</v>
      </c>
      <c r="AC854" s="29">
        <v>1</v>
      </c>
      <c r="AD854" s="30">
        <v>12020</v>
      </c>
      <c r="BA854">
        <v>853</v>
      </c>
      <c r="BB854" s="28">
        <v>1</v>
      </c>
      <c r="BC854" s="28">
        <v>1</v>
      </c>
      <c r="BD854" s="29">
        <v>1</v>
      </c>
      <c r="BE854" s="30">
        <v>17000</v>
      </c>
    </row>
    <row r="855" spans="26:57">
      <c r="Z855" s="20">
        <v>854</v>
      </c>
      <c r="AA855" s="28">
        <v>1</v>
      </c>
      <c r="AB855" s="28">
        <v>1</v>
      </c>
      <c r="AC855" s="29">
        <v>1</v>
      </c>
      <c r="AD855" s="30">
        <v>12910</v>
      </c>
      <c r="BA855">
        <v>854</v>
      </c>
      <c r="BB855" s="28">
        <v>1</v>
      </c>
      <c r="BC855" s="28">
        <v>1</v>
      </c>
      <c r="BD855" s="29">
        <v>1</v>
      </c>
      <c r="BE855" s="30">
        <v>16010</v>
      </c>
    </row>
    <row r="856" spans="26:57">
      <c r="Z856" s="20">
        <v>855</v>
      </c>
      <c r="AA856" s="28">
        <v>1</v>
      </c>
      <c r="AB856" s="28">
        <v>1</v>
      </c>
      <c r="AC856" s="29">
        <v>1</v>
      </c>
      <c r="AD856" s="30">
        <v>11380</v>
      </c>
      <c r="BA856">
        <v>855</v>
      </c>
      <c r="BB856" s="28">
        <v>1</v>
      </c>
      <c r="BC856" s="28">
        <v>1</v>
      </c>
      <c r="BD856" s="29">
        <v>1</v>
      </c>
      <c r="BE856" s="30">
        <v>15040</v>
      </c>
    </row>
    <row r="857" spans="26:57">
      <c r="Z857" s="20">
        <v>856</v>
      </c>
      <c r="AA857" s="28">
        <v>1</v>
      </c>
      <c r="AB857" s="28">
        <v>1</v>
      </c>
      <c r="AC857" s="29">
        <v>1</v>
      </c>
      <c r="AD857" s="30">
        <v>13540</v>
      </c>
      <c r="BA857">
        <v>856</v>
      </c>
      <c r="BB857" s="28">
        <v>1</v>
      </c>
      <c r="BC857" s="28">
        <v>1</v>
      </c>
      <c r="BD857" s="29">
        <v>1</v>
      </c>
      <c r="BE857" s="30">
        <v>16140</v>
      </c>
    </row>
    <row r="858" spans="26:57">
      <c r="Z858" s="20">
        <v>857</v>
      </c>
      <c r="AA858" s="28">
        <v>1</v>
      </c>
      <c r="AB858" s="28">
        <v>1</v>
      </c>
      <c r="AC858" s="29">
        <v>1</v>
      </c>
      <c r="AD858" s="30">
        <v>12980</v>
      </c>
      <c r="BA858">
        <v>857</v>
      </c>
      <c r="BB858" s="28">
        <v>1</v>
      </c>
      <c r="BC858" s="28">
        <v>1</v>
      </c>
      <c r="BD858" s="29">
        <v>1</v>
      </c>
      <c r="BE858" s="30">
        <v>17560</v>
      </c>
    </row>
    <row r="859" spans="26:57">
      <c r="Z859" s="20">
        <v>858</v>
      </c>
      <c r="AA859" s="28">
        <v>1</v>
      </c>
      <c r="AB859" s="28">
        <v>1</v>
      </c>
      <c r="AC859" s="29">
        <v>1</v>
      </c>
      <c r="AD859" s="30">
        <v>10970</v>
      </c>
      <c r="BA859">
        <v>858</v>
      </c>
      <c r="BB859" s="28">
        <v>1</v>
      </c>
      <c r="BC859" s="28">
        <v>1</v>
      </c>
      <c r="BD859" s="29">
        <v>1</v>
      </c>
      <c r="BE859" s="30">
        <v>17160</v>
      </c>
    </row>
    <row r="860" spans="26:57">
      <c r="Z860" s="20">
        <v>859</v>
      </c>
      <c r="AA860" s="28">
        <v>1</v>
      </c>
      <c r="AB860" s="28">
        <v>1</v>
      </c>
      <c r="AC860" s="29">
        <v>1</v>
      </c>
      <c r="AD860" s="30">
        <v>11860</v>
      </c>
      <c r="BA860">
        <v>859</v>
      </c>
      <c r="BB860" s="28">
        <v>1</v>
      </c>
      <c r="BC860" s="28">
        <v>0</v>
      </c>
      <c r="BD860" s="29">
        <v>0.98</v>
      </c>
      <c r="BE860" s="30">
        <v>18930</v>
      </c>
    </row>
    <row r="861" spans="26:57">
      <c r="Z861" s="20">
        <v>860</v>
      </c>
      <c r="AA861" s="28">
        <v>1</v>
      </c>
      <c r="AB861" s="28">
        <v>1</v>
      </c>
      <c r="AC861" s="29">
        <v>1</v>
      </c>
      <c r="AD861" s="30">
        <v>10580</v>
      </c>
      <c r="BA861">
        <v>860</v>
      </c>
      <c r="BB861" s="28">
        <v>1</v>
      </c>
      <c r="BC861" s="28">
        <v>0</v>
      </c>
      <c r="BD861" s="29">
        <v>0.99</v>
      </c>
      <c r="BE861" s="30">
        <v>19270</v>
      </c>
    </row>
    <row r="862" spans="26:57">
      <c r="Z862" s="20">
        <v>861</v>
      </c>
      <c r="AA862" s="28">
        <v>1</v>
      </c>
      <c r="AB862" s="28">
        <v>1</v>
      </c>
      <c r="AC862" s="29">
        <v>1</v>
      </c>
      <c r="AD862" s="30">
        <v>11220</v>
      </c>
      <c r="BA862">
        <v>861</v>
      </c>
      <c r="BB862" s="28">
        <v>1</v>
      </c>
      <c r="BC862" s="28">
        <v>1</v>
      </c>
      <c r="BD862" s="29">
        <v>1</v>
      </c>
      <c r="BE862" s="30">
        <v>15910</v>
      </c>
    </row>
    <row r="863" spans="26:57">
      <c r="Z863" s="20">
        <v>862</v>
      </c>
      <c r="AA863" s="28">
        <v>1</v>
      </c>
      <c r="AB863" s="28">
        <v>1</v>
      </c>
      <c r="AC863" s="29">
        <v>1</v>
      </c>
      <c r="AD863" s="30">
        <v>11070</v>
      </c>
      <c r="BA863">
        <v>862</v>
      </c>
      <c r="BB863" s="28">
        <v>1</v>
      </c>
      <c r="BC863" s="28">
        <v>1</v>
      </c>
      <c r="BD863" s="29">
        <v>1</v>
      </c>
      <c r="BE863" s="30">
        <v>18950</v>
      </c>
    </row>
    <row r="864" spans="26:57">
      <c r="Z864" s="20">
        <v>863</v>
      </c>
      <c r="AA864" s="28">
        <v>1</v>
      </c>
      <c r="AB864" s="28">
        <v>1</v>
      </c>
      <c r="AC864" s="29">
        <v>1</v>
      </c>
      <c r="AD864" s="30">
        <v>12590</v>
      </c>
      <c r="BA864">
        <v>863</v>
      </c>
      <c r="BB864" s="28">
        <v>1</v>
      </c>
      <c r="BC864" s="28">
        <v>0</v>
      </c>
      <c r="BD864" s="29">
        <v>0.97</v>
      </c>
      <c r="BE864" s="30">
        <v>16780</v>
      </c>
    </row>
    <row r="865" spans="26:57">
      <c r="Z865" s="20">
        <v>864</v>
      </c>
      <c r="AA865" s="28">
        <v>1</v>
      </c>
      <c r="AB865" s="28">
        <v>1</v>
      </c>
      <c r="AC865" s="29">
        <v>1</v>
      </c>
      <c r="AD865" s="30">
        <v>12520</v>
      </c>
      <c r="BA865">
        <v>864</v>
      </c>
      <c r="BB865" s="28">
        <v>1</v>
      </c>
      <c r="BC865" s="28">
        <v>0</v>
      </c>
      <c r="BD865" s="29">
        <v>0.99</v>
      </c>
      <c r="BE865" s="30">
        <v>17790</v>
      </c>
    </row>
    <row r="866" spans="26:57">
      <c r="Z866" s="20">
        <v>865</v>
      </c>
      <c r="AA866" s="28">
        <v>1</v>
      </c>
      <c r="AB866" s="28">
        <v>1</v>
      </c>
      <c r="AC866" s="29">
        <v>1</v>
      </c>
      <c r="AD866" s="30">
        <v>12770</v>
      </c>
      <c r="BA866">
        <v>865</v>
      </c>
      <c r="BB866" s="28">
        <v>1</v>
      </c>
      <c r="BC866" s="28">
        <v>0</v>
      </c>
      <c r="BD866" s="29">
        <v>0.99</v>
      </c>
      <c r="BE866" s="30">
        <v>15470</v>
      </c>
    </row>
    <row r="867" spans="26:57">
      <c r="Z867" s="20">
        <v>866</v>
      </c>
      <c r="AA867" s="28">
        <v>1</v>
      </c>
      <c r="AB867" s="28">
        <v>1</v>
      </c>
      <c r="AC867" s="29">
        <v>1</v>
      </c>
      <c r="AD867" s="30">
        <v>11950</v>
      </c>
      <c r="BA867">
        <v>866</v>
      </c>
      <c r="BB867" s="28">
        <v>1</v>
      </c>
      <c r="BC867" s="28">
        <v>0</v>
      </c>
      <c r="BD867" s="29">
        <v>0.99</v>
      </c>
      <c r="BE867" s="30">
        <v>19330</v>
      </c>
    </row>
    <row r="868" spans="26:57">
      <c r="Z868" s="20">
        <v>867</v>
      </c>
      <c r="AA868" s="28">
        <v>1</v>
      </c>
      <c r="AB868" s="28">
        <v>1</v>
      </c>
      <c r="AC868" s="29">
        <v>1</v>
      </c>
      <c r="AD868" s="30">
        <v>11730</v>
      </c>
      <c r="BA868">
        <v>867</v>
      </c>
      <c r="BB868" s="28">
        <v>1</v>
      </c>
      <c r="BC868" s="28">
        <v>1</v>
      </c>
      <c r="BD868" s="29">
        <v>1</v>
      </c>
      <c r="BE868" s="30">
        <v>16420</v>
      </c>
    </row>
    <row r="869" spans="26:57">
      <c r="Z869" s="20">
        <v>868</v>
      </c>
      <c r="AA869" s="28">
        <v>1</v>
      </c>
      <c r="AB869" s="28">
        <v>1</v>
      </c>
      <c r="AC869" s="29">
        <v>1</v>
      </c>
      <c r="AD869" s="30">
        <v>12360</v>
      </c>
      <c r="BA869">
        <v>868</v>
      </c>
      <c r="BB869" s="28">
        <v>1</v>
      </c>
      <c r="BC869" s="28">
        <v>1</v>
      </c>
      <c r="BD869" s="29">
        <v>1</v>
      </c>
      <c r="BE869" s="30">
        <v>17660</v>
      </c>
    </row>
    <row r="870" spans="26:57">
      <c r="Z870" s="20">
        <v>869</v>
      </c>
      <c r="AA870" s="28">
        <v>1</v>
      </c>
      <c r="AB870" s="28">
        <v>1</v>
      </c>
      <c r="AC870" s="29">
        <v>1</v>
      </c>
      <c r="AD870" s="30">
        <v>12520</v>
      </c>
      <c r="BA870">
        <v>869</v>
      </c>
      <c r="BB870" s="28">
        <v>1</v>
      </c>
      <c r="BC870" s="28">
        <v>1</v>
      </c>
      <c r="BD870" s="29">
        <v>1</v>
      </c>
      <c r="BE870" s="30">
        <v>14640</v>
      </c>
    </row>
    <row r="871" spans="26:57">
      <c r="Z871" s="20">
        <v>870</v>
      </c>
      <c r="AA871" s="28">
        <v>1</v>
      </c>
      <c r="AB871" s="28">
        <v>1</v>
      </c>
      <c r="AC871" s="29">
        <v>1</v>
      </c>
      <c r="AD871" s="30">
        <v>13130</v>
      </c>
      <c r="BA871">
        <v>870</v>
      </c>
      <c r="BB871" s="28">
        <v>1</v>
      </c>
      <c r="BC871" s="28">
        <v>0</v>
      </c>
      <c r="BD871" s="29">
        <v>0.95</v>
      </c>
      <c r="BE871" s="30">
        <v>19010</v>
      </c>
    </row>
    <row r="872" spans="26:57">
      <c r="Z872" s="20">
        <v>871</v>
      </c>
      <c r="AA872" s="28">
        <v>1</v>
      </c>
      <c r="AB872" s="28">
        <v>1</v>
      </c>
      <c r="AC872" s="29">
        <v>1</v>
      </c>
      <c r="AD872" s="30">
        <v>14650</v>
      </c>
      <c r="BA872">
        <v>871</v>
      </c>
      <c r="BB872" s="28">
        <v>1</v>
      </c>
      <c r="BC872" s="28">
        <v>0</v>
      </c>
      <c r="BD872" s="29">
        <v>0.98</v>
      </c>
      <c r="BE872" s="30">
        <v>17690</v>
      </c>
    </row>
    <row r="873" spans="26:57">
      <c r="Z873" s="20">
        <v>872</v>
      </c>
      <c r="AA873" s="28">
        <v>1</v>
      </c>
      <c r="AB873" s="28">
        <v>1</v>
      </c>
      <c r="AC873" s="29">
        <v>1</v>
      </c>
      <c r="AD873" s="30">
        <v>13360</v>
      </c>
      <c r="BA873">
        <v>872</v>
      </c>
      <c r="BB873" s="28">
        <v>1</v>
      </c>
      <c r="BC873" s="28">
        <v>1</v>
      </c>
      <c r="BD873" s="29">
        <v>1</v>
      </c>
      <c r="BE873" s="30">
        <v>16150</v>
      </c>
    </row>
    <row r="874" spans="26:57">
      <c r="Z874" s="20">
        <v>873</v>
      </c>
      <c r="AA874" s="28">
        <v>1</v>
      </c>
      <c r="AB874" s="28">
        <v>1</v>
      </c>
      <c r="AC874" s="29">
        <v>1</v>
      </c>
      <c r="AD874" s="30">
        <v>11930</v>
      </c>
      <c r="BA874">
        <v>873</v>
      </c>
      <c r="BB874" s="28">
        <v>1</v>
      </c>
      <c r="BC874" s="28">
        <v>1</v>
      </c>
      <c r="BD874" s="29">
        <v>1</v>
      </c>
      <c r="BE874" s="30">
        <v>16890</v>
      </c>
    </row>
    <row r="875" spans="26:57">
      <c r="Z875" s="20">
        <v>874</v>
      </c>
      <c r="AA875" s="28">
        <v>1</v>
      </c>
      <c r="AB875" s="28">
        <v>1</v>
      </c>
      <c r="AC875" s="29">
        <v>1</v>
      </c>
      <c r="AD875" s="30">
        <v>12140</v>
      </c>
      <c r="BA875">
        <v>874</v>
      </c>
      <c r="BB875" s="28">
        <v>1</v>
      </c>
      <c r="BC875" s="28">
        <v>0</v>
      </c>
      <c r="BD875" s="29">
        <v>0.99</v>
      </c>
      <c r="BE875" s="30">
        <v>18320</v>
      </c>
    </row>
    <row r="876" spans="26:57">
      <c r="Z876" s="20">
        <v>875</v>
      </c>
      <c r="AA876" s="28">
        <v>1</v>
      </c>
      <c r="AB876" s="28">
        <v>1</v>
      </c>
      <c r="AC876" s="29">
        <v>1</v>
      </c>
      <c r="AD876" s="30">
        <v>15040</v>
      </c>
      <c r="BA876">
        <v>875</v>
      </c>
      <c r="BB876" s="28">
        <v>1</v>
      </c>
      <c r="BC876" s="28">
        <v>0</v>
      </c>
      <c r="BD876" s="29">
        <v>0.98</v>
      </c>
      <c r="BE876" s="30">
        <v>17510</v>
      </c>
    </row>
    <row r="877" spans="26:57">
      <c r="Z877" s="20">
        <v>876</v>
      </c>
      <c r="AA877" s="28">
        <v>1</v>
      </c>
      <c r="AB877" s="28">
        <v>1</v>
      </c>
      <c r="AC877" s="29">
        <v>1</v>
      </c>
      <c r="AD877" s="30">
        <v>12490</v>
      </c>
      <c r="BA877">
        <v>876</v>
      </c>
      <c r="BB877" s="28">
        <v>1</v>
      </c>
      <c r="BC877" s="28">
        <v>0</v>
      </c>
      <c r="BD877" s="29">
        <v>0.99</v>
      </c>
      <c r="BE877" s="30">
        <v>17690</v>
      </c>
    </row>
    <row r="878" spans="26:57">
      <c r="Z878" s="20">
        <v>877</v>
      </c>
      <c r="AA878" s="28">
        <v>1</v>
      </c>
      <c r="AB878" s="28">
        <v>1</v>
      </c>
      <c r="AC878" s="29">
        <v>1</v>
      </c>
      <c r="AD878" s="30">
        <v>12930</v>
      </c>
      <c r="BA878">
        <v>877</v>
      </c>
      <c r="BB878" s="28">
        <v>1</v>
      </c>
      <c r="BC878" s="28">
        <v>0</v>
      </c>
      <c r="BD878" s="29">
        <v>0.98</v>
      </c>
      <c r="BE878" s="30">
        <v>15650</v>
      </c>
    </row>
    <row r="879" spans="26:57">
      <c r="Z879" s="20">
        <v>878</v>
      </c>
      <c r="AA879" s="28">
        <v>1</v>
      </c>
      <c r="AB879" s="28">
        <v>1</v>
      </c>
      <c r="AC879" s="29">
        <v>1</v>
      </c>
      <c r="AD879" s="30">
        <v>13400</v>
      </c>
      <c r="BA879">
        <v>878</v>
      </c>
      <c r="BB879" s="28">
        <v>1</v>
      </c>
      <c r="BC879" s="28">
        <v>0</v>
      </c>
      <c r="BD879" s="29">
        <v>0.97</v>
      </c>
      <c r="BE879" s="30">
        <v>18570</v>
      </c>
    </row>
    <row r="880" spans="26:57">
      <c r="Z880" s="20">
        <v>879</v>
      </c>
      <c r="AA880" s="28">
        <v>1</v>
      </c>
      <c r="AB880" s="28">
        <v>1</v>
      </c>
      <c r="AC880" s="29">
        <v>1</v>
      </c>
      <c r="AD880" s="30">
        <v>11810</v>
      </c>
      <c r="BA880">
        <v>879</v>
      </c>
      <c r="BB880" s="28">
        <v>1</v>
      </c>
      <c r="BC880" s="28">
        <v>0</v>
      </c>
      <c r="BD880" s="29">
        <v>0.99</v>
      </c>
      <c r="BE880" s="30">
        <v>16150</v>
      </c>
    </row>
    <row r="881" spans="26:57">
      <c r="Z881" s="20">
        <v>880</v>
      </c>
      <c r="AA881" s="28">
        <v>1</v>
      </c>
      <c r="AB881" s="28">
        <v>1</v>
      </c>
      <c r="AC881" s="29">
        <v>1</v>
      </c>
      <c r="AD881" s="30">
        <v>14120</v>
      </c>
      <c r="BA881">
        <v>880</v>
      </c>
      <c r="BB881" s="28">
        <v>1</v>
      </c>
      <c r="BC881" s="28">
        <v>1</v>
      </c>
      <c r="BD881" s="29">
        <v>1</v>
      </c>
      <c r="BE881" s="30">
        <v>16530</v>
      </c>
    </row>
    <row r="882" spans="26:57">
      <c r="Z882" s="20">
        <v>881</v>
      </c>
      <c r="AA882" s="28">
        <v>1</v>
      </c>
      <c r="AB882" s="28">
        <v>1</v>
      </c>
      <c r="AC882" s="29">
        <v>1</v>
      </c>
      <c r="AD882" s="30">
        <v>11470</v>
      </c>
      <c r="BA882">
        <v>881</v>
      </c>
      <c r="BB882" s="28">
        <v>1</v>
      </c>
      <c r="BC882" s="28">
        <v>1</v>
      </c>
      <c r="BD882" s="29">
        <v>1</v>
      </c>
      <c r="BE882" s="30">
        <v>14640</v>
      </c>
    </row>
    <row r="883" spans="26:57">
      <c r="Z883" s="20">
        <v>882</v>
      </c>
      <c r="AA883" s="28">
        <v>1</v>
      </c>
      <c r="AB883" s="28">
        <v>1</v>
      </c>
      <c r="AC883" s="29">
        <v>1</v>
      </c>
      <c r="AD883" s="30">
        <v>11760</v>
      </c>
      <c r="BA883">
        <v>882</v>
      </c>
      <c r="BB883" s="28">
        <v>1</v>
      </c>
      <c r="BC883" s="28">
        <v>1</v>
      </c>
      <c r="BD883" s="29">
        <v>1</v>
      </c>
      <c r="BE883" s="30">
        <v>14010</v>
      </c>
    </row>
    <row r="884" spans="26:57">
      <c r="Z884" s="20">
        <v>883</v>
      </c>
      <c r="AA884" s="28">
        <v>1</v>
      </c>
      <c r="AB884" s="28">
        <v>1</v>
      </c>
      <c r="AC884" s="29">
        <v>1</v>
      </c>
      <c r="AD884" s="30">
        <v>12410</v>
      </c>
      <c r="BA884">
        <v>883</v>
      </c>
      <c r="BB884" s="28">
        <v>1</v>
      </c>
      <c r="BC884" s="28">
        <v>1</v>
      </c>
      <c r="BD884" s="29">
        <v>1</v>
      </c>
      <c r="BE884" s="30">
        <v>18240</v>
      </c>
    </row>
    <row r="885" spans="26:57">
      <c r="Z885" s="20">
        <v>884</v>
      </c>
      <c r="AA885" s="28">
        <v>1</v>
      </c>
      <c r="AB885" s="28">
        <v>1</v>
      </c>
      <c r="AC885" s="29">
        <v>1</v>
      </c>
      <c r="AD885" s="30">
        <v>13270</v>
      </c>
      <c r="BA885">
        <v>884</v>
      </c>
      <c r="BB885" s="28">
        <v>1</v>
      </c>
      <c r="BC885" s="28">
        <v>0</v>
      </c>
      <c r="BD885" s="29">
        <v>0.98</v>
      </c>
      <c r="BE885" s="30">
        <v>17760</v>
      </c>
    </row>
    <row r="886" spans="26:57">
      <c r="Z886" s="20">
        <v>885</v>
      </c>
      <c r="AA886" s="28">
        <v>1</v>
      </c>
      <c r="AB886" s="28">
        <v>1</v>
      </c>
      <c r="AC886" s="29">
        <v>1</v>
      </c>
      <c r="AD886" s="30">
        <v>12470</v>
      </c>
      <c r="BA886">
        <v>885</v>
      </c>
      <c r="BB886" s="28">
        <v>1</v>
      </c>
      <c r="BC886" s="28">
        <v>1</v>
      </c>
      <c r="BD886" s="29">
        <v>1</v>
      </c>
      <c r="BE886" s="30">
        <v>15440</v>
      </c>
    </row>
    <row r="887" spans="26:57">
      <c r="Z887" s="20">
        <v>886</v>
      </c>
      <c r="AA887" s="28">
        <v>1</v>
      </c>
      <c r="AB887" s="28">
        <v>1</v>
      </c>
      <c r="AC887" s="29">
        <v>1</v>
      </c>
      <c r="AD887" s="30">
        <v>11600</v>
      </c>
      <c r="BA887">
        <v>886</v>
      </c>
      <c r="BB887" s="28">
        <v>1</v>
      </c>
      <c r="BC887" s="28">
        <v>0</v>
      </c>
      <c r="BD887" s="29">
        <v>0.99</v>
      </c>
      <c r="BE887" s="30">
        <v>18600</v>
      </c>
    </row>
    <row r="888" spans="26:57">
      <c r="Z888" s="20">
        <v>887</v>
      </c>
      <c r="AA888" s="28">
        <v>1</v>
      </c>
      <c r="AB888" s="28">
        <v>1</v>
      </c>
      <c r="AC888" s="29">
        <v>1</v>
      </c>
      <c r="AD888" s="30">
        <v>11950</v>
      </c>
      <c r="BA888">
        <v>887</v>
      </c>
      <c r="BB888" s="28">
        <v>1</v>
      </c>
      <c r="BC888" s="28">
        <v>0</v>
      </c>
      <c r="BD888" s="29">
        <v>0.97</v>
      </c>
      <c r="BE888" s="30">
        <v>19390</v>
      </c>
    </row>
    <row r="889" spans="26:57">
      <c r="Z889" s="20">
        <v>888</v>
      </c>
      <c r="AA889" s="28">
        <v>1</v>
      </c>
      <c r="AB889" s="28">
        <v>1</v>
      </c>
      <c r="AC889" s="29">
        <v>1</v>
      </c>
      <c r="AD889" s="30">
        <v>13460</v>
      </c>
      <c r="BA889">
        <v>888</v>
      </c>
      <c r="BB889" s="28">
        <v>1</v>
      </c>
      <c r="BC889" s="28">
        <v>0</v>
      </c>
      <c r="BD889" s="29">
        <v>0.98</v>
      </c>
      <c r="BE889" s="30">
        <v>18410</v>
      </c>
    </row>
    <row r="890" spans="26:57">
      <c r="Z890" s="20">
        <v>889</v>
      </c>
      <c r="AA890" s="28">
        <v>1</v>
      </c>
      <c r="AB890" s="28">
        <v>1</v>
      </c>
      <c r="AC890" s="29">
        <v>1</v>
      </c>
      <c r="AD890" s="30">
        <v>11630</v>
      </c>
      <c r="BA890">
        <v>889</v>
      </c>
      <c r="BB890" s="28">
        <v>1</v>
      </c>
      <c r="BC890" s="28">
        <v>1</v>
      </c>
      <c r="BD890" s="29">
        <v>1</v>
      </c>
      <c r="BE890" s="30">
        <v>16320</v>
      </c>
    </row>
    <row r="891" spans="26:57">
      <c r="Z891" s="20">
        <v>890</v>
      </c>
      <c r="AA891" s="28">
        <v>1</v>
      </c>
      <c r="AB891" s="28">
        <v>1</v>
      </c>
      <c r="AC891" s="29">
        <v>1</v>
      </c>
      <c r="AD891" s="30">
        <v>12080</v>
      </c>
      <c r="BA891">
        <v>890</v>
      </c>
      <c r="BB891" s="28">
        <v>1</v>
      </c>
      <c r="BC891" s="28">
        <v>1</v>
      </c>
      <c r="BD891" s="29">
        <v>1</v>
      </c>
      <c r="BE891" s="30">
        <v>16590</v>
      </c>
    </row>
    <row r="892" spans="26:57">
      <c r="Z892" s="20">
        <v>891</v>
      </c>
      <c r="AA892" s="28">
        <v>1</v>
      </c>
      <c r="AB892" s="28">
        <v>1</v>
      </c>
      <c r="AC892" s="29">
        <v>1</v>
      </c>
      <c r="AD892" s="30">
        <v>14570</v>
      </c>
      <c r="BA892">
        <v>891</v>
      </c>
      <c r="BB892" s="28">
        <v>1</v>
      </c>
      <c r="BC892" s="28">
        <v>1</v>
      </c>
      <c r="BD892" s="29">
        <v>1</v>
      </c>
      <c r="BE892" s="30">
        <v>17670</v>
      </c>
    </row>
    <row r="893" spans="26:57">
      <c r="Z893" s="20">
        <v>892</v>
      </c>
      <c r="AA893" s="28">
        <v>1</v>
      </c>
      <c r="AB893" s="28">
        <v>1</v>
      </c>
      <c r="AC893" s="29">
        <v>1</v>
      </c>
      <c r="AD893" s="30">
        <v>12950</v>
      </c>
      <c r="BA893">
        <v>892</v>
      </c>
      <c r="BB893" s="28">
        <v>1</v>
      </c>
      <c r="BC893" s="28">
        <v>1</v>
      </c>
      <c r="BD893" s="29">
        <v>1</v>
      </c>
      <c r="BE893" s="30">
        <v>16300</v>
      </c>
    </row>
    <row r="894" spans="26:57">
      <c r="Z894" s="20">
        <v>893</v>
      </c>
      <c r="AA894" s="28">
        <v>1</v>
      </c>
      <c r="AB894" s="28">
        <v>1</v>
      </c>
      <c r="AC894" s="29">
        <v>1</v>
      </c>
      <c r="AD894" s="30">
        <v>12020</v>
      </c>
      <c r="BA894">
        <v>893</v>
      </c>
      <c r="BB894" s="28">
        <v>1</v>
      </c>
      <c r="BC894" s="28">
        <v>1</v>
      </c>
      <c r="BD894" s="29">
        <v>1</v>
      </c>
      <c r="BE894" s="30">
        <v>15640</v>
      </c>
    </row>
    <row r="895" spans="26:57">
      <c r="Z895" s="20">
        <v>894</v>
      </c>
      <c r="AA895" s="28">
        <v>1</v>
      </c>
      <c r="AB895" s="28">
        <v>1</v>
      </c>
      <c r="AC895" s="29">
        <v>1</v>
      </c>
      <c r="AD895" s="30">
        <v>13770</v>
      </c>
      <c r="BA895">
        <v>894</v>
      </c>
      <c r="BB895" s="28">
        <v>1</v>
      </c>
      <c r="BC895" s="28">
        <v>1</v>
      </c>
      <c r="BD895" s="29">
        <v>1</v>
      </c>
      <c r="BE895" s="30">
        <v>17100</v>
      </c>
    </row>
    <row r="896" spans="26:57">
      <c r="Z896" s="20">
        <v>895</v>
      </c>
      <c r="AA896" s="28">
        <v>1</v>
      </c>
      <c r="AB896" s="28">
        <v>1</v>
      </c>
      <c r="AC896" s="29">
        <v>1</v>
      </c>
      <c r="AD896" s="30">
        <v>12850</v>
      </c>
      <c r="BA896">
        <v>895</v>
      </c>
      <c r="BB896" s="28">
        <v>1</v>
      </c>
      <c r="BC896" s="28">
        <v>0</v>
      </c>
      <c r="BD896" s="29">
        <v>0.99</v>
      </c>
      <c r="BE896" s="30">
        <v>18060</v>
      </c>
    </row>
    <row r="897" spans="26:57">
      <c r="Z897" s="20">
        <v>896</v>
      </c>
      <c r="AA897" s="28">
        <v>1</v>
      </c>
      <c r="AB897" s="28">
        <v>1</v>
      </c>
      <c r="AC897" s="29">
        <v>1</v>
      </c>
      <c r="AD897" s="30">
        <v>10410</v>
      </c>
      <c r="BA897">
        <v>896</v>
      </c>
      <c r="BB897" s="28">
        <v>1</v>
      </c>
      <c r="BC897" s="28">
        <v>1</v>
      </c>
      <c r="BD897" s="29">
        <v>1</v>
      </c>
      <c r="BE897" s="30">
        <v>18140</v>
      </c>
    </row>
    <row r="898" spans="26:57">
      <c r="Z898" s="20">
        <v>897</v>
      </c>
      <c r="AA898" s="28">
        <v>1</v>
      </c>
      <c r="AB898" s="28">
        <v>1</v>
      </c>
      <c r="AC898" s="29">
        <v>1</v>
      </c>
      <c r="AD898" s="30">
        <v>11770</v>
      </c>
      <c r="BA898">
        <v>897</v>
      </c>
      <c r="BB898" s="28">
        <v>1</v>
      </c>
      <c r="BC898" s="28">
        <v>0</v>
      </c>
      <c r="BD898" s="29">
        <v>0.99</v>
      </c>
      <c r="BE898" s="30">
        <v>17990</v>
      </c>
    </row>
    <row r="899" spans="26:57">
      <c r="Z899" s="20">
        <v>898</v>
      </c>
      <c r="AA899" s="28">
        <v>1</v>
      </c>
      <c r="AB899" s="28">
        <v>1</v>
      </c>
      <c r="AC899" s="29">
        <v>1</v>
      </c>
      <c r="AD899" s="30">
        <v>14380</v>
      </c>
      <c r="BA899">
        <v>898</v>
      </c>
      <c r="BB899" s="28">
        <v>1</v>
      </c>
      <c r="BC899" s="28">
        <v>1</v>
      </c>
      <c r="BD899" s="29">
        <v>1</v>
      </c>
      <c r="BE899" s="30">
        <v>17630</v>
      </c>
    </row>
    <row r="900" spans="26:57">
      <c r="Z900" s="20">
        <v>899</v>
      </c>
      <c r="AA900" s="28">
        <v>1</v>
      </c>
      <c r="AB900" s="28">
        <v>1</v>
      </c>
      <c r="AC900" s="29">
        <v>1</v>
      </c>
      <c r="AD900" s="30">
        <v>15780</v>
      </c>
      <c r="BA900">
        <v>899</v>
      </c>
      <c r="BB900" s="28">
        <v>1</v>
      </c>
      <c r="BC900" s="28">
        <v>0</v>
      </c>
      <c r="BD900" s="29">
        <v>0.98</v>
      </c>
      <c r="BE900" s="30">
        <v>18600</v>
      </c>
    </row>
    <row r="901" spans="26:57">
      <c r="Z901" s="20">
        <v>900</v>
      </c>
      <c r="AA901" s="28">
        <v>1</v>
      </c>
      <c r="AB901" s="28">
        <v>1</v>
      </c>
      <c r="AC901" s="29">
        <v>1</v>
      </c>
      <c r="AD901" s="30">
        <v>12640</v>
      </c>
      <c r="BA901">
        <v>900</v>
      </c>
      <c r="BB901" s="28">
        <v>1</v>
      </c>
      <c r="BC901" s="28">
        <v>0</v>
      </c>
      <c r="BD901" s="29">
        <v>0.97</v>
      </c>
      <c r="BE901" s="30">
        <v>19580</v>
      </c>
    </row>
    <row r="902" spans="26:57">
      <c r="Z902" s="20">
        <v>901</v>
      </c>
      <c r="AA902" s="28">
        <v>1</v>
      </c>
      <c r="AB902" s="28">
        <v>1</v>
      </c>
      <c r="AC902" s="29">
        <v>1</v>
      </c>
      <c r="AD902" s="30">
        <v>11590</v>
      </c>
      <c r="BA902">
        <v>901</v>
      </c>
      <c r="BB902" s="28">
        <v>1</v>
      </c>
      <c r="BC902" s="28">
        <v>0</v>
      </c>
      <c r="BD902" s="29">
        <v>0.98</v>
      </c>
      <c r="BE902" s="30">
        <v>20420</v>
      </c>
    </row>
    <row r="903" spans="26:57">
      <c r="Z903" s="20">
        <v>902</v>
      </c>
      <c r="AA903" s="28">
        <v>1</v>
      </c>
      <c r="AB903" s="28">
        <v>1</v>
      </c>
      <c r="AC903" s="29">
        <v>1</v>
      </c>
      <c r="AD903" s="30">
        <v>11840</v>
      </c>
      <c r="BA903">
        <v>902</v>
      </c>
      <c r="BB903" s="28">
        <v>1</v>
      </c>
      <c r="BC903" s="28">
        <v>0</v>
      </c>
      <c r="BD903" s="29">
        <v>0.95</v>
      </c>
      <c r="BE903" s="30">
        <v>21190</v>
      </c>
    </row>
    <row r="904" spans="26:57">
      <c r="Z904" s="20">
        <v>903</v>
      </c>
      <c r="AA904" s="28">
        <v>1</v>
      </c>
      <c r="AB904" s="28">
        <v>1</v>
      </c>
      <c r="AC904" s="29">
        <v>1</v>
      </c>
      <c r="AD904" s="30">
        <v>12950</v>
      </c>
      <c r="BA904">
        <v>903</v>
      </c>
      <c r="BB904" s="28">
        <v>1</v>
      </c>
      <c r="BC904" s="28">
        <v>0</v>
      </c>
      <c r="BD904" s="29">
        <v>0.99</v>
      </c>
      <c r="BE904" s="30">
        <v>18890</v>
      </c>
    </row>
    <row r="905" spans="26:57">
      <c r="Z905" s="20">
        <v>904</v>
      </c>
      <c r="AA905" s="28">
        <v>1</v>
      </c>
      <c r="AB905" s="28">
        <v>1</v>
      </c>
      <c r="AC905" s="29">
        <v>1</v>
      </c>
      <c r="AD905" s="30">
        <v>12980</v>
      </c>
      <c r="BA905">
        <v>904</v>
      </c>
      <c r="BB905" s="28">
        <v>1</v>
      </c>
      <c r="BC905" s="28">
        <v>1</v>
      </c>
      <c r="BD905" s="29">
        <v>1</v>
      </c>
      <c r="BE905" s="30">
        <v>17300</v>
      </c>
    </row>
    <row r="906" spans="26:57">
      <c r="Z906" s="20">
        <v>905</v>
      </c>
      <c r="AA906" s="28">
        <v>1</v>
      </c>
      <c r="AB906" s="28">
        <v>1</v>
      </c>
      <c r="AC906" s="29">
        <v>1</v>
      </c>
      <c r="AD906" s="30">
        <v>13630</v>
      </c>
      <c r="BA906">
        <v>905</v>
      </c>
      <c r="BB906" s="28">
        <v>1</v>
      </c>
      <c r="BC906" s="28">
        <v>1</v>
      </c>
      <c r="BD906" s="29">
        <v>1</v>
      </c>
      <c r="BE906" s="30">
        <v>16010</v>
      </c>
    </row>
    <row r="907" spans="26:57">
      <c r="Z907" s="20">
        <v>906</v>
      </c>
      <c r="AA907" s="28">
        <v>1</v>
      </c>
      <c r="AB907" s="28">
        <v>1</v>
      </c>
      <c r="AC907" s="29">
        <v>1</v>
      </c>
      <c r="AD907" s="30">
        <v>13060</v>
      </c>
      <c r="BA907">
        <v>906</v>
      </c>
      <c r="BB907" s="28">
        <v>1</v>
      </c>
      <c r="BC907" s="28">
        <v>1</v>
      </c>
      <c r="BD907" s="29">
        <v>1</v>
      </c>
      <c r="BE907" s="30">
        <v>16250</v>
      </c>
    </row>
    <row r="908" spans="26:57">
      <c r="Z908" s="20">
        <v>907</v>
      </c>
      <c r="AA908" s="28">
        <v>1</v>
      </c>
      <c r="AB908" s="28">
        <v>1</v>
      </c>
      <c r="AC908" s="29">
        <v>1</v>
      </c>
      <c r="AD908" s="30">
        <v>12300</v>
      </c>
      <c r="BA908">
        <v>907</v>
      </c>
      <c r="BB908" s="28">
        <v>1</v>
      </c>
      <c r="BC908" s="28">
        <v>1</v>
      </c>
      <c r="BD908" s="29">
        <v>1</v>
      </c>
      <c r="BE908" s="30">
        <v>19780</v>
      </c>
    </row>
    <row r="909" spans="26:57">
      <c r="Z909" s="20">
        <v>908</v>
      </c>
      <c r="AA909" s="28">
        <v>1</v>
      </c>
      <c r="AB909" s="28">
        <v>1</v>
      </c>
      <c r="AC909" s="29">
        <v>1</v>
      </c>
      <c r="AD909" s="30">
        <v>11700</v>
      </c>
      <c r="BA909">
        <v>908</v>
      </c>
      <c r="BB909" s="28">
        <v>1</v>
      </c>
      <c r="BC909" s="28">
        <v>1</v>
      </c>
      <c r="BD909" s="29">
        <v>1</v>
      </c>
      <c r="BE909" s="30">
        <v>17360</v>
      </c>
    </row>
    <row r="910" spans="26:57">
      <c r="Z910" s="20">
        <v>909</v>
      </c>
      <c r="AA910" s="28">
        <v>1</v>
      </c>
      <c r="AB910" s="28">
        <v>1</v>
      </c>
      <c r="AC910" s="29">
        <v>1</v>
      </c>
      <c r="AD910" s="30">
        <v>13540</v>
      </c>
      <c r="BA910">
        <v>909</v>
      </c>
      <c r="BB910" s="28">
        <v>1</v>
      </c>
      <c r="BC910" s="28">
        <v>1</v>
      </c>
      <c r="BD910" s="29">
        <v>1</v>
      </c>
      <c r="BE910" s="30">
        <v>16660</v>
      </c>
    </row>
    <row r="911" spans="26:57">
      <c r="Z911" s="20">
        <v>910</v>
      </c>
      <c r="AA911" s="28">
        <v>1</v>
      </c>
      <c r="AB911" s="28">
        <v>1</v>
      </c>
      <c r="AC911" s="29">
        <v>1</v>
      </c>
      <c r="AD911" s="30">
        <v>11720</v>
      </c>
      <c r="BA911">
        <v>910</v>
      </c>
      <c r="BB911" s="28">
        <v>1</v>
      </c>
      <c r="BC911" s="28">
        <v>0</v>
      </c>
      <c r="BD911" s="29">
        <v>0.99</v>
      </c>
      <c r="BE911" s="30">
        <v>17610</v>
      </c>
    </row>
    <row r="912" spans="26:57">
      <c r="Z912" s="20">
        <v>911</v>
      </c>
      <c r="AA912" s="28">
        <v>1</v>
      </c>
      <c r="AB912" s="28">
        <v>1</v>
      </c>
      <c r="AC912" s="29">
        <v>1</v>
      </c>
      <c r="AD912" s="30">
        <v>13880</v>
      </c>
      <c r="BA912">
        <v>911</v>
      </c>
      <c r="BB912" s="28">
        <v>1</v>
      </c>
      <c r="BC912" s="28">
        <v>0</v>
      </c>
      <c r="BD912" s="29">
        <v>0.98</v>
      </c>
      <c r="BE912" s="30">
        <v>17950</v>
      </c>
    </row>
    <row r="913" spans="26:57">
      <c r="Z913" s="20">
        <v>912</v>
      </c>
      <c r="AA913" s="28">
        <v>1</v>
      </c>
      <c r="AB913" s="28">
        <v>1</v>
      </c>
      <c r="AC913" s="29">
        <v>1</v>
      </c>
      <c r="AD913" s="30">
        <v>13320</v>
      </c>
      <c r="BA913">
        <v>912</v>
      </c>
      <c r="BB913" s="28">
        <v>1</v>
      </c>
      <c r="BC913" s="28">
        <v>0</v>
      </c>
      <c r="BD913" s="29">
        <v>0.98</v>
      </c>
      <c r="BE913" s="30">
        <v>19150</v>
      </c>
    </row>
    <row r="914" spans="26:57">
      <c r="Z914" s="20">
        <v>913</v>
      </c>
      <c r="AA914" s="28">
        <v>1</v>
      </c>
      <c r="AB914" s="28">
        <v>1</v>
      </c>
      <c r="AC914" s="29">
        <v>1</v>
      </c>
      <c r="AD914" s="30">
        <v>13640</v>
      </c>
      <c r="BA914">
        <v>913</v>
      </c>
      <c r="BB914" s="28">
        <v>1</v>
      </c>
      <c r="BC914" s="28">
        <v>0</v>
      </c>
      <c r="BD914" s="29">
        <v>0.99</v>
      </c>
      <c r="BE914" s="30">
        <v>14970</v>
      </c>
    </row>
    <row r="915" spans="26:57">
      <c r="Z915" s="20">
        <v>914</v>
      </c>
      <c r="AA915" s="28">
        <v>1</v>
      </c>
      <c r="AB915" s="28">
        <v>1</v>
      </c>
      <c r="AC915" s="29">
        <v>1</v>
      </c>
      <c r="AD915" s="30">
        <v>11670</v>
      </c>
      <c r="BA915">
        <v>914</v>
      </c>
      <c r="BB915" s="28">
        <v>1</v>
      </c>
      <c r="BC915" s="28">
        <v>0</v>
      </c>
      <c r="BD915" s="29">
        <v>0.99</v>
      </c>
      <c r="BE915" s="30">
        <v>15360</v>
      </c>
    </row>
    <row r="916" spans="26:57">
      <c r="Z916" s="20">
        <v>915</v>
      </c>
      <c r="AA916" s="28">
        <v>1</v>
      </c>
      <c r="AB916" s="28">
        <v>1</v>
      </c>
      <c r="AC916" s="29">
        <v>1</v>
      </c>
      <c r="AD916" s="30">
        <v>12440</v>
      </c>
      <c r="BA916">
        <v>915</v>
      </c>
      <c r="BB916" s="28">
        <v>1</v>
      </c>
      <c r="BC916" s="28">
        <v>1</v>
      </c>
      <c r="BD916" s="29">
        <v>1</v>
      </c>
      <c r="BE916" s="30">
        <v>14770</v>
      </c>
    </row>
    <row r="917" spans="26:57">
      <c r="Z917" s="20">
        <v>916</v>
      </c>
      <c r="AA917" s="28">
        <v>1</v>
      </c>
      <c r="AB917" s="28">
        <v>1</v>
      </c>
      <c r="AC917" s="29">
        <v>1</v>
      </c>
      <c r="AD917" s="30">
        <v>14070</v>
      </c>
      <c r="BA917">
        <v>916</v>
      </c>
      <c r="BB917" s="28">
        <v>1</v>
      </c>
      <c r="BC917" s="28">
        <v>1</v>
      </c>
      <c r="BD917" s="29">
        <v>1</v>
      </c>
      <c r="BE917" s="30">
        <v>16070</v>
      </c>
    </row>
    <row r="918" spans="26:57">
      <c r="Z918" s="20">
        <v>917</v>
      </c>
      <c r="AA918" s="28">
        <v>1</v>
      </c>
      <c r="AB918" s="28">
        <v>1</v>
      </c>
      <c r="AC918" s="29">
        <v>1</v>
      </c>
      <c r="AD918" s="30">
        <v>12520</v>
      </c>
      <c r="BA918">
        <v>917</v>
      </c>
      <c r="BB918" s="28">
        <v>1</v>
      </c>
      <c r="BC918" s="28">
        <v>1</v>
      </c>
      <c r="BD918" s="29">
        <v>1</v>
      </c>
      <c r="BE918" s="30">
        <v>16610</v>
      </c>
    </row>
    <row r="919" spans="26:57">
      <c r="Z919" s="20">
        <v>918</v>
      </c>
      <c r="AA919" s="28">
        <v>1</v>
      </c>
      <c r="AB919" s="28">
        <v>1</v>
      </c>
      <c r="AC919" s="29">
        <v>1</v>
      </c>
      <c r="AD919" s="30">
        <v>14080</v>
      </c>
      <c r="BA919">
        <v>918</v>
      </c>
      <c r="BB919" s="28">
        <v>1</v>
      </c>
      <c r="BC919" s="28">
        <v>1</v>
      </c>
      <c r="BD919" s="29">
        <v>1</v>
      </c>
      <c r="BE919" s="30">
        <v>16290</v>
      </c>
    </row>
    <row r="920" spans="26:57">
      <c r="Z920" s="20">
        <v>919</v>
      </c>
      <c r="AA920" s="28">
        <v>1</v>
      </c>
      <c r="AB920" s="28">
        <v>1</v>
      </c>
      <c r="AC920" s="29">
        <v>1</v>
      </c>
      <c r="AD920" s="30">
        <v>14540</v>
      </c>
      <c r="BA920">
        <v>919</v>
      </c>
      <c r="BB920" s="28">
        <v>1</v>
      </c>
      <c r="BC920" s="28">
        <v>1</v>
      </c>
      <c r="BD920" s="29">
        <v>1</v>
      </c>
      <c r="BE920" s="30">
        <v>14290</v>
      </c>
    </row>
    <row r="921" spans="26:57">
      <c r="Z921" s="20">
        <v>920</v>
      </c>
      <c r="AA921" s="28">
        <v>1</v>
      </c>
      <c r="AB921" s="28">
        <v>1</v>
      </c>
      <c r="AC921" s="29">
        <v>1</v>
      </c>
      <c r="AD921" s="30">
        <v>11610</v>
      </c>
      <c r="BA921">
        <v>920</v>
      </c>
      <c r="BB921" s="28">
        <v>1</v>
      </c>
      <c r="BC921" s="28">
        <v>0</v>
      </c>
      <c r="BD921" s="29">
        <v>0.97</v>
      </c>
      <c r="BE921" s="30">
        <v>19620</v>
      </c>
    </row>
    <row r="922" spans="26:57">
      <c r="Z922" s="20">
        <v>921</v>
      </c>
      <c r="AA922" s="28">
        <v>1</v>
      </c>
      <c r="AB922" s="28">
        <v>1</v>
      </c>
      <c r="AC922" s="29">
        <v>1</v>
      </c>
      <c r="AD922" s="30">
        <v>13210</v>
      </c>
      <c r="BA922">
        <v>921</v>
      </c>
      <c r="BB922" s="28">
        <v>1</v>
      </c>
      <c r="BC922" s="28">
        <v>1</v>
      </c>
      <c r="BD922" s="29">
        <v>1</v>
      </c>
      <c r="BE922" s="30">
        <v>17110</v>
      </c>
    </row>
    <row r="923" spans="26:57">
      <c r="Z923" s="20">
        <v>922</v>
      </c>
      <c r="AA923" s="28">
        <v>1</v>
      </c>
      <c r="AB923" s="28">
        <v>1</v>
      </c>
      <c r="AC923" s="29">
        <v>1</v>
      </c>
      <c r="AD923" s="30">
        <v>12320</v>
      </c>
      <c r="BA923">
        <v>922</v>
      </c>
      <c r="BB923" s="28">
        <v>1</v>
      </c>
      <c r="BC923" s="28">
        <v>1</v>
      </c>
      <c r="BD923" s="29">
        <v>1</v>
      </c>
      <c r="BE923" s="30">
        <v>16960</v>
      </c>
    </row>
    <row r="924" spans="26:57">
      <c r="Z924" s="20">
        <v>923</v>
      </c>
      <c r="AA924" s="28">
        <v>1</v>
      </c>
      <c r="AB924" s="28">
        <v>1</v>
      </c>
      <c r="AC924" s="29">
        <v>1</v>
      </c>
      <c r="AD924" s="30">
        <v>11800</v>
      </c>
      <c r="BA924">
        <v>923</v>
      </c>
      <c r="BB924" s="28">
        <v>1</v>
      </c>
      <c r="BC924" s="28">
        <v>1</v>
      </c>
      <c r="BD924" s="29">
        <v>1</v>
      </c>
      <c r="BE924" s="30">
        <v>17460</v>
      </c>
    </row>
    <row r="925" spans="26:57">
      <c r="Z925" s="20">
        <v>924</v>
      </c>
      <c r="AA925" s="28">
        <v>1</v>
      </c>
      <c r="AB925" s="28">
        <v>1</v>
      </c>
      <c r="AC925" s="29">
        <v>1</v>
      </c>
      <c r="AD925" s="30">
        <v>12100</v>
      </c>
      <c r="BA925">
        <v>924</v>
      </c>
      <c r="BB925" s="28">
        <v>1</v>
      </c>
      <c r="BC925" s="28">
        <v>0</v>
      </c>
      <c r="BD925" s="29">
        <v>0.98</v>
      </c>
      <c r="BE925" s="30">
        <v>17570</v>
      </c>
    </row>
    <row r="926" spans="26:57">
      <c r="Z926" s="20">
        <v>925</v>
      </c>
      <c r="AA926" s="28">
        <v>1</v>
      </c>
      <c r="AB926" s="28">
        <v>1</v>
      </c>
      <c r="AC926" s="29">
        <v>1</v>
      </c>
      <c r="AD926" s="30">
        <v>10600</v>
      </c>
      <c r="BA926">
        <v>925</v>
      </c>
      <c r="BB926" s="28">
        <v>1</v>
      </c>
      <c r="BC926" s="28">
        <v>1</v>
      </c>
      <c r="BD926" s="29">
        <v>1</v>
      </c>
      <c r="BE926" s="30">
        <v>13300</v>
      </c>
    </row>
    <row r="927" spans="26:57">
      <c r="Z927" s="20">
        <v>926</v>
      </c>
      <c r="AA927" s="28">
        <v>1</v>
      </c>
      <c r="AB927" s="28">
        <v>1</v>
      </c>
      <c r="AC927" s="29">
        <v>1</v>
      </c>
      <c r="AD927" s="30">
        <v>12820</v>
      </c>
      <c r="BA927">
        <v>926</v>
      </c>
      <c r="BB927" s="28">
        <v>1</v>
      </c>
      <c r="BC927" s="28">
        <v>1</v>
      </c>
      <c r="BD927" s="29">
        <v>1</v>
      </c>
      <c r="BE927" s="30">
        <v>17020</v>
      </c>
    </row>
    <row r="928" spans="26:57">
      <c r="Z928" s="20">
        <v>927</v>
      </c>
      <c r="AA928" s="28">
        <v>1</v>
      </c>
      <c r="AB928" s="28">
        <v>1</v>
      </c>
      <c r="AC928" s="29">
        <v>1</v>
      </c>
      <c r="AD928" s="30">
        <v>11040</v>
      </c>
      <c r="BA928">
        <v>927</v>
      </c>
      <c r="BB928" s="28">
        <v>1</v>
      </c>
      <c r="BC928" s="28">
        <v>0</v>
      </c>
      <c r="BD928" s="29">
        <v>0.99</v>
      </c>
      <c r="BE928" s="30">
        <v>17910</v>
      </c>
    </row>
    <row r="929" spans="26:57">
      <c r="Z929" s="20">
        <v>928</v>
      </c>
      <c r="AA929" s="28">
        <v>1</v>
      </c>
      <c r="AB929" s="28">
        <v>1</v>
      </c>
      <c r="AC929" s="29">
        <v>1</v>
      </c>
      <c r="AD929" s="30">
        <v>10920</v>
      </c>
      <c r="BA929">
        <v>928</v>
      </c>
      <c r="BB929" s="28">
        <v>1</v>
      </c>
      <c r="BC929" s="28">
        <v>1</v>
      </c>
      <c r="BD929" s="29">
        <v>1</v>
      </c>
      <c r="BE929" s="30">
        <v>16440</v>
      </c>
    </row>
    <row r="930" spans="26:57">
      <c r="Z930" s="20">
        <v>929</v>
      </c>
      <c r="AA930" s="28">
        <v>1</v>
      </c>
      <c r="AB930" s="28">
        <v>1</v>
      </c>
      <c r="AC930" s="29">
        <v>1</v>
      </c>
      <c r="AD930" s="30">
        <v>12730</v>
      </c>
      <c r="BA930">
        <v>929</v>
      </c>
      <c r="BB930" s="28">
        <v>1</v>
      </c>
      <c r="BC930" s="28">
        <v>1</v>
      </c>
      <c r="BD930" s="29">
        <v>1</v>
      </c>
      <c r="BE930" s="30">
        <v>15490</v>
      </c>
    </row>
    <row r="931" spans="26:57">
      <c r="Z931" s="20">
        <v>930</v>
      </c>
      <c r="AA931" s="28">
        <v>1</v>
      </c>
      <c r="AB931" s="28">
        <v>1</v>
      </c>
      <c r="AC931" s="29">
        <v>1</v>
      </c>
      <c r="AD931" s="30">
        <v>12650</v>
      </c>
      <c r="BA931">
        <v>930</v>
      </c>
      <c r="BB931" s="28">
        <v>1</v>
      </c>
      <c r="BC931" s="28">
        <v>1</v>
      </c>
      <c r="BD931" s="29">
        <v>1</v>
      </c>
      <c r="BE931" s="30">
        <v>17020</v>
      </c>
    </row>
    <row r="932" spans="26:57">
      <c r="Z932" s="20">
        <v>931</v>
      </c>
      <c r="AA932" s="28">
        <v>1</v>
      </c>
      <c r="AB932" s="28">
        <v>1</v>
      </c>
      <c r="AC932" s="29">
        <v>1</v>
      </c>
      <c r="AD932" s="30">
        <v>14200</v>
      </c>
      <c r="BA932">
        <v>931</v>
      </c>
      <c r="BB932" s="28">
        <v>1</v>
      </c>
      <c r="BC932" s="28">
        <v>0</v>
      </c>
      <c r="BD932" s="29">
        <v>0.98</v>
      </c>
      <c r="BE932" s="30">
        <v>19500</v>
      </c>
    </row>
    <row r="933" spans="26:57">
      <c r="Z933" s="20">
        <v>932</v>
      </c>
      <c r="AA933" s="28">
        <v>1</v>
      </c>
      <c r="AB933" s="28">
        <v>1</v>
      </c>
      <c r="AC933" s="29">
        <v>1</v>
      </c>
      <c r="AD933" s="30">
        <v>13060</v>
      </c>
      <c r="BA933">
        <v>932</v>
      </c>
      <c r="BB933" s="28">
        <v>1</v>
      </c>
      <c r="BC933" s="28">
        <v>0</v>
      </c>
      <c r="BD933" s="29">
        <v>0.98</v>
      </c>
      <c r="BE933" s="30">
        <v>16050</v>
      </c>
    </row>
    <row r="934" spans="26:57">
      <c r="Z934" s="20">
        <v>933</v>
      </c>
      <c r="AA934" s="28">
        <v>1</v>
      </c>
      <c r="AB934" s="28">
        <v>1</v>
      </c>
      <c r="AC934" s="29">
        <v>1</v>
      </c>
      <c r="AD934" s="30">
        <v>12290</v>
      </c>
      <c r="BA934">
        <v>933</v>
      </c>
      <c r="BB934" s="28">
        <v>1</v>
      </c>
      <c r="BC934" s="28">
        <v>1</v>
      </c>
      <c r="BD934" s="29">
        <v>1</v>
      </c>
      <c r="BE934" s="30">
        <v>17770</v>
      </c>
    </row>
    <row r="935" spans="26:57">
      <c r="Z935" s="20">
        <v>934</v>
      </c>
      <c r="AA935" s="28">
        <v>1</v>
      </c>
      <c r="AB935" s="28">
        <v>1</v>
      </c>
      <c r="AC935" s="29">
        <v>1</v>
      </c>
      <c r="AD935" s="30">
        <v>12820</v>
      </c>
      <c r="BA935">
        <v>934</v>
      </c>
      <c r="BB935" s="28">
        <v>1</v>
      </c>
      <c r="BC935" s="28">
        <v>1</v>
      </c>
      <c r="BD935" s="29">
        <v>1</v>
      </c>
      <c r="BE935" s="30">
        <v>16810</v>
      </c>
    </row>
    <row r="936" spans="26:57">
      <c r="Z936" s="20">
        <v>935</v>
      </c>
      <c r="AA936" s="28">
        <v>1</v>
      </c>
      <c r="AB936" s="28">
        <v>1</v>
      </c>
      <c r="AC936" s="29">
        <v>1</v>
      </c>
      <c r="AD936" s="30">
        <v>12450</v>
      </c>
      <c r="BA936">
        <v>935</v>
      </c>
      <c r="BB936" s="28">
        <v>1</v>
      </c>
      <c r="BC936" s="28">
        <v>0</v>
      </c>
      <c r="BD936" s="29">
        <v>0.99</v>
      </c>
      <c r="BE936" s="30">
        <v>16270</v>
      </c>
    </row>
    <row r="937" spans="26:57">
      <c r="Z937" s="20">
        <v>936</v>
      </c>
      <c r="AA937" s="28">
        <v>1</v>
      </c>
      <c r="AB937" s="28">
        <v>1</v>
      </c>
      <c r="AC937" s="29">
        <v>1</v>
      </c>
      <c r="AD937" s="30">
        <v>12130</v>
      </c>
      <c r="BA937">
        <v>936</v>
      </c>
      <c r="BB937" s="28">
        <v>1</v>
      </c>
      <c r="BC937" s="28">
        <v>0</v>
      </c>
      <c r="BD937" s="29">
        <v>0.99</v>
      </c>
      <c r="BE937" s="30">
        <v>14790</v>
      </c>
    </row>
    <row r="938" spans="26:57">
      <c r="Z938" s="20">
        <v>937</v>
      </c>
      <c r="AA938" s="28">
        <v>1</v>
      </c>
      <c r="AB938" s="28">
        <v>1</v>
      </c>
      <c r="AC938" s="29">
        <v>1</v>
      </c>
      <c r="AD938" s="30">
        <v>11470</v>
      </c>
      <c r="BA938">
        <v>937</v>
      </c>
      <c r="BB938" s="28">
        <v>1</v>
      </c>
      <c r="BC938" s="28">
        <v>1</v>
      </c>
      <c r="BD938" s="29">
        <v>1</v>
      </c>
      <c r="BE938" s="30">
        <v>18590</v>
      </c>
    </row>
    <row r="939" spans="26:57">
      <c r="Z939" s="20">
        <v>938</v>
      </c>
      <c r="AA939" s="28">
        <v>1</v>
      </c>
      <c r="AB939" s="28">
        <v>1</v>
      </c>
      <c r="AC939" s="29">
        <v>1</v>
      </c>
      <c r="AD939" s="30">
        <v>12810</v>
      </c>
      <c r="BA939">
        <v>938</v>
      </c>
      <c r="BB939" s="28">
        <v>1</v>
      </c>
      <c r="BC939" s="28">
        <v>0</v>
      </c>
      <c r="BD939" s="29">
        <v>0.97</v>
      </c>
      <c r="BE939" s="30">
        <v>20980</v>
      </c>
    </row>
    <row r="940" spans="26:57">
      <c r="Z940" s="20">
        <v>939</v>
      </c>
      <c r="AA940" s="28">
        <v>1</v>
      </c>
      <c r="AB940" s="28">
        <v>1</v>
      </c>
      <c r="AC940" s="29">
        <v>1</v>
      </c>
      <c r="AD940" s="30">
        <v>12660</v>
      </c>
      <c r="BA940">
        <v>939</v>
      </c>
      <c r="BB940" s="28">
        <v>1</v>
      </c>
      <c r="BC940" s="28">
        <v>1</v>
      </c>
      <c r="BD940" s="29">
        <v>1</v>
      </c>
      <c r="BE940" s="30">
        <v>16470</v>
      </c>
    </row>
    <row r="941" spans="26:57">
      <c r="Z941" s="20">
        <v>940</v>
      </c>
      <c r="AA941" s="28">
        <v>1</v>
      </c>
      <c r="AB941" s="28">
        <v>1</v>
      </c>
      <c r="AC941" s="29">
        <v>1</v>
      </c>
      <c r="AD941" s="30">
        <v>12400</v>
      </c>
      <c r="BA941">
        <v>940</v>
      </c>
      <c r="BB941" s="28">
        <v>1</v>
      </c>
      <c r="BC941" s="28">
        <v>1</v>
      </c>
      <c r="BD941" s="29">
        <v>1</v>
      </c>
      <c r="BE941" s="30">
        <v>16670</v>
      </c>
    </row>
    <row r="942" spans="26:57">
      <c r="Z942" s="20">
        <v>941</v>
      </c>
      <c r="AA942" s="28">
        <v>1</v>
      </c>
      <c r="AB942" s="28">
        <v>1</v>
      </c>
      <c r="AC942" s="29">
        <v>1</v>
      </c>
      <c r="AD942" s="30">
        <v>11050</v>
      </c>
      <c r="BA942">
        <v>941</v>
      </c>
      <c r="BB942" s="28">
        <v>1</v>
      </c>
      <c r="BC942" s="28">
        <v>0</v>
      </c>
      <c r="BD942" s="29">
        <v>0.97</v>
      </c>
      <c r="BE942" s="30">
        <v>17920</v>
      </c>
    </row>
    <row r="943" spans="26:57">
      <c r="Z943" s="20">
        <v>942</v>
      </c>
      <c r="AA943" s="28">
        <v>1</v>
      </c>
      <c r="AB943" s="28">
        <v>1</v>
      </c>
      <c r="AC943" s="29">
        <v>1</v>
      </c>
      <c r="AD943" s="30">
        <v>12710</v>
      </c>
      <c r="BA943">
        <v>942</v>
      </c>
      <c r="BB943" s="28">
        <v>1</v>
      </c>
      <c r="BC943" s="28">
        <v>1</v>
      </c>
      <c r="BD943" s="29">
        <v>1</v>
      </c>
      <c r="BE943" s="30">
        <v>16050</v>
      </c>
    </row>
    <row r="944" spans="26:57">
      <c r="Z944" s="20">
        <v>943</v>
      </c>
      <c r="AA944" s="28">
        <v>1</v>
      </c>
      <c r="AB944" s="28">
        <v>1</v>
      </c>
      <c r="AC944" s="29">
        <v>1</v>
      </c>
      <c r="AD944" s="30">
        <v>12200</v>
      </c>
      <c r="BA944">
        <v>943</v>
      </c>
      <c r="BB944" s="28">
        <v>1</v>
      </c>
      <c r="BC944" s="28">
        <v>0</v>
      </c>
      <c r="BD944" s="29">
        <v>0.99</v>
      </c>
      <c r="BE944" s="30">
        <v>16440</v>
      </c>
    </row>
    <row r="945" spans="26:57">
      <c r="Z945" s="20">
        <v>944</v>
      </c>
      <c r="AA945" s="28">
        <v>1</v>
      </c>
      <c r="AB945" s="28">
        <v>1</v>
      </c>
      <c r="AC945" s="29">
        <v>1</v>
      </c>
      <c r="AD945" s="30">
        <v>12590</v>
      </c>
      <c r="BA945">
        <v>944</v>
      </c>
      <c r="BB945" s="28">
        <v>1</v>
      </c>
      <c r="BC945" s="28">
        <v>1</v>
      </c>
      <c r="BD945" s="29">
        <v>1</v>
      </c>
      <c r="BE945" s="30">
        <v>16870</v>
      </c>
    </row>
    <row r="946" spans="26:57">
      <c r="Z946" s="20">
        <v>945</v>
      </c>
      <c r="AA946" s="28">
        <v>1</v>
      </c>
      <c r="AB946" s="28">
        <v>1</v>
      </c>
      <c r="AC946" s="29">
        <v>1</v>
      </c>
      <c r="AD946" s="30">
        <v>13390</v>
      </c>
      <c r="BA946">
        <v>945</v>
      </c>
      <c r="BB946" s="28">
        <v>1</v>
      </c>
      <c r="BC946" s="28">
        <v>0</v>
      </c>
      <c r="BD946" s="29">
        <v>0.99</v>
      </c>
      <c r="BE946" s="30">
        <v>17940</v>
      </c>
    </row>
    <row r="947" spans="26:57">
      <c r="Z947" s="20">
        <v>946</v>
      </c>
      <c r="AA947" s="28">
        <v>1</v>
      </c>
      <c r="AB947" s="28">
        <v>1</v>
      </c>
      <c r="AC947" s="29">
        <v>1</v>
      </c>
      <c r="AD947" s="30">
        <v>12900</v>
      </c>
      <c r="BA947">
        <v>946</v>
      </c>
      <c r="BB947" s="28">
        <v>1</v>
      </c>
      <c r="BC947" s="28">
        <v>0</v>
      </c>
      <c r="BD947" s="29">
        <v>0.99</v>
      </c>
      <c r="BE947" s="30">
        <v>18060</v>
      </c>
    </row>
    <row r="948" spans="26:57">
      <c r="Z948" s="20">
        <v>947</v>
      </c>
      <c r="AA948" s="28">
        <v>1</v>
      </c>
      <c r="AB948" s="28">
        <v>1</v>
      </c>
      <c r="AC948" s="29">
        <v>1</v>
      </c>
      <c r="AD948" s="30">
        <v>12560</v>
      </c>
      <c r="BA948">
        <v>947</v>
      </c>
      <c r="BB948" s="28">
        <v>1</v>
      </c>
      <c r="BC948" s="28">
        <v>1</v>
      </c>
      <c r="BD948" s="29">
        <v>1</v>
      </c>
      <c r="BE948" s="30">
        <v>16900</v>
      </c>
    </row>
    <row r="949" spans="26:57">
      <c r="Z949" s="20">
        <v>948</v>
      </c>
      <c r="AA949" s="28">
        <v>1</v>
      </c>
      <c r="AB949" s="28">
        <v>1</v>
      </c>
      <c r="AC949" s="29">
        <v>1</v>
      </c>
      <c r="AD949" s="30">
        <v>12420</v>
      </c>
      <c r="BA949">
        <v>948</v>
      </c>
      <c r="BB949" s="28">
        <v>1</v>
      </c>
      <c r="BC949" s="28">
        <v>1</v>
      </c>
      <c r="BD949" s="29">
        <v>1</v>
      </c>
      <c r="BE949" s="30">
        <v>16560</v>
      </c>
    </row>
    <row r="950" spans="26:57">
      <c r="Z950" s="20">
        <v>949</v>
      </c>
      <c r="AA950" s="28">
        <v>1</v>
      </c>
      <c r="AB950" s="28">
        <v>1</v>
      </c>
      <c r="AC950" s="29">
        <v>1</v>
      </c>
      <c r="AD950" s="30">
        <v>13200</v>
      </c>
      <c r="BA950">
        <v>949</v>
      </c>
      <c r="BB950" s="28">
        <v>1</v>
      </c>
      <c r="BC950" s="28">
        <v>1</v>
      </c>
      <c r="BD950" s="29">
        <v>1</v>
      </c>
      <c r="BE950" s="30">
        <v>15600</v>
      </c>
    </row>
    <row r="951" spans="26:57">
      <c r="Z951" s="20">
        <v>950</v>
      </c>
      <c r="AA951" s="28">
        <v>1</v>
      </c>
      <c r="AB951" s="28">
        <v>1</v>
      </c>
      <c r="AC951" s="29">
        <v>1</v>
      </c>
      <c r="AD951" s="30">
        <v>11190</v>
      </c>
      <c r="BA951">
        <v>950</v>
      </c>
      <c r="BB951" s="28">
        <v>1</v>
      </c>
      <c r="BC951" s="28">
        <v>1</v>
      </c>
      <c r="BD951" s="29">
        <v>1</v>
      </c>
      <c r="BE951" s="30">
        <v>14430</v>
      </c>
    </row>
    <row r="952" spans="26:57">
      <c r="Z952" s="20">
        <v>951</v>
      </c>
      <c r="AA952" s="28">
        <v>1</v>
      </c>
      <c r="AB952" s="28">
        <v>1</v>
      </c>
      <c r="AC952" s="29">
        <v>1</v>
      </c>
      <c r="AD952" s="30">
        <v>13090</v>
      </c>
      <c r="BA952">
        <v>951</v>
      </c>
      <c r="BB952" s="28">
        <v>1</v>
      </c>
      <c r="BC952" s="28">
        <v>1</v>
      </c>
      <c r="BD952" s="29">
        <v>1</v>
      </c>
      <c r="BE952" s="30">
        <v>15680</v>
      </c>
    </row>
    <row r="953" spans="26:57">
      <c r="Z953" s="20">
        <v>952</v>
      </c>
      <c r="AA953" s="28">
        <v>1</v>
      </c>
      <c r="AB953" s="28">
        <v>1</v>
      </c>
      <c r="AC953" s="29">
        <v>1</v>
      </c>
      <c r="AD953" s="30">
        <v>12910</v>
      </c>
      <c r="BA953">
        <v>952</v>
      </c>
      <c r="BB953" s="28">
        <v>1</v>
      </c>
      <c r="BC953" s="28">
        <v>1</v>
      </c>
      <c r="BD953" s="29">
        <v>1</v>
      </c>
      <c r="BE953" s="30">
        <v>16410</v>
      </c>
    </row>
    <row r="954" spans="26:57">
      <c r="Z954" s="20">
        <v>953</v>
      </c>
      <c r="AA954" s="28">
        <v>1</v>
      </c>
      <c r="AB954" s="28">
        <v>1</v>
      </c>
      <c r="AC954" s="29">
        <v>1</v>
      </c>
      <c r="AD954" s="30">
        <v>10970</v>
      </c>
      <c r="BA954">
        <v>953</v>
      </c>
      <c r="BB954" s="28">
        <v>1</v>
      </c>
      <c r="BC954" s="28">
        <v>1</v>
      </c>
      <c r="BD954" s="29">
        <v>1</v>
      </c>
      <c r="BE954" s="30">
        <v>16520</v>
      </c>
    </row>
    <row r="955" spans="26:57">
      <c r="Z955" s="20">
        <v>954</v>
      </c>
      <c r="AA955" s="28">
        <v>1</v>
      </c>
      <c r="AB955" s="28">
        <v>1</v>
      </c>
      <c r="AC955" s="29">
        <v>1</v>
      </c>
      <c r="AD955" s="30">
        <v>12840</v>
      </c>
      <c r="BA955">
        <v>954</v>
      </c>
      <c r="BB955" s="28">
        <v>1</v>
      </c>
      <c r="BC955" s="28">
        <v>1</v>
      </c>
      <c r="BD955" s="29">
        <v>1</v>
      </c>
      <c r="BE955" s="30">
        <v>15330</v>
      </c>
    </row>
    <row r="956" spans="26:57">
      <c r="Z956" s="20">
        <v>955</v>
      </c>
      <c r="AA956" s="28">
        <v>1</v>
      </c>
      <c r="AB956" s="28">
        <v>1</v>
      </c>
      <c r="AC956" s="29">
        <v>1</v>
      </c>
      <c r="AD956" s="30">
        <v>12060</v>
      </c>
      <c r="BA956">
        <v>955</v>
      </c>
      <c r="BB956" s="28">
        <v>1</v>
      </c>
      <c r="BC956" s="28">
        <v>1</v>
      </c>
      <c r="BD956" s="29">
        <v>1</v>
      </c>
      <c r="BE956" s="30">
        <v>15120</v>
      </c>
    </row>
    <row r="957" spans="26:57">
      <c r="Z957" s="20">
        <v>956</v>
      </c>
      <c r="AA957" s="28">
        <v>1</v>
      </c>
      <c r="AB957" s="28">
        <v>1</v>
      </c>
      <c r="AC957" s="29">
        <v>1</v>
      </c>
      <c r="AD957" s="30">
        <v>13130</v>
      </c>
      <c r="BA957">
        <v>956</v>
      </c>
      <c r="BB957" s="28">
        <v>1</v>
      </c>
      <c r="BC957" s="28">
        <v>1</v>
      </c>
      <c r="BD957" s="29">
        <v>1</v>
      </c>
      <c r="BE957" s="30">
        <v>17420</v>
      </c>
    </row>
    <row r="958" spans="26:57">
      <c r="Z958" s="20">
        <v>957</v>
      </c>
      <c r="AA958" s="28">
        <v>1</v>
      </c>
      <c r="AB958" s="28">
        <v>1</v>
      </c>
      <c r="AC958" s="29">
        <v>1</v>
      </c>
      <c r="AD958" s="30">
        <v>14700</v>
      </c>
      <c r="BA958">
        <v>957</v>
      </c>
      <c r="BB958" s="28">
        <v>1</v>
      </c>
      <c r="BC958" s="28">
        <v>0</v>
      </c>
      <c r="BD958" s="29">
        <v>0.99</v>
      </c>
      <c r="BE958" s="30">
        <v>17040</v>
      </c>
    </row>
    <row r="959" spans="26:57">
      <c r="Z959" s="20">
        <v>958</v>
      </c>
      <c r="AA959" s="28">
        <v>1</v>
      </c>
      <c r="AB959" s="28">
        <v>1</v>
      </c>
      <c r="AC959" s="29">
        <v>1</v>
      </c>
      <c r="AD959" s="30">
        <v>12800</v>
      </c>
      <c r="BA959">
        <v>958</v>
      </c>
      <c r="BB959" s="28">
        <v>1</v>
      </c>
      <c r="BC959" s="28">
        <v>0</v>
      </c>
      <c r="BD959" s="29">
        <v>0.97</v>
      </c>
      <c r="BE959" s="30">
        <v>21960</v>
      </c>
    </row>
    <row r="960" spans="26:57">
      <c r="Z960" s="20">
        <v>959</v>
      </c>
      <c r="AA960" s="28">
        <v>1</v>
      </c>
      <c r="AB960" s="28">
        <v>1</v>
      </c>
      <c r="AC960" s="29">
        <v>1</v>
      </c>
      <c r="AD960" s="30">
        <v>12600</v>
      </c>
      <c r="BA960">
        <v>959</v>
      </c>
      <c r="BB960" s="28">
        <v>1</v>
      </c>
      <c r="BC960" s="28">
        <v>1</v>
      </c>
      <c r="BD960" s="29">
        <v>1</v>
      </c>
      <c r="BE960" s="30">
        <v>18330</v>
      </c>
    </row>
    <row r="961" spans="26:57">
      <c r="Z961" s="20">
        <v>960</v>
      </c>
      <c r="AA961" s="28">
        <v>1</v>
      </c>
      <c r="AB961" s="28">
        <v>1</v>
      </c>
      <c r="AC961" s="29">
        <v>1</v>
      </c>
      <c r="AD961" s="30">
        <v>12120</v>
      </c>
      <c r="BA961">
        <v>960</v>
      </c>
      <c r="BB961" s="28">
        <v>1</v>
      </c>
      <c r="BC961" s="28">
        <v>0</v>
      </c>
      <c r="BD961" s="29">
        <v>0.99</v>
      </c>
      <c r="BE961" s="30">
        <v>17720</v>
      </c>
    </row>
    <row r="962" spans="26:57">
      <c r="Z962" s="20">
        <v>961</v>
      </c>
      <c r="AA962" s="28">
        <v>1</v>
      </c>
      <c r="AB962" s="28">
        <v>1</v>
      </c>
      <c r="AC962" s="29">
        <v>1</v>
      </c>
      <c r="AD962" s="30">
        <v>14340</v>
      </c>
      <c r="BA962">
        <v>961</v>
      </c>
      <c r="BB962" s="28">
        <v>1</v>
      </c>
      <c r="BC962" s="28">
        <v>1</v>
      </c>
      <c r="BD962" s="29">
        <v>1</v>
      </c>
      <c r="BE962" s="30">
        <v>17660</v>
      </c>
    </row>
    <row r="963" spans="26:57">
      <c r="Z963" s="20">
        <v>962</v>
      </c>
      <c r="AA963" s="28">
        <v>1</v>
      </c>
      <c r="AB963" s="28">
        <v>1</v>
      </c>
      <c r="AC963" s="29">
        <v>1</v>
      </c>
      <c r="AD963" s="30">
        <v>10990</v>
      </c>
      <c r="BA963">
        <v>962</v>
      </c>
      <c r="BB963" s="28">
        <v>1</v>
      </c>
      <c r="BC963" s="28">
        <v>1</v>
      </c>
      <c r="BD963" s="29">
        <v>1</v>
      </c>
      <c r="BE963" s="30">
        <v>15310</v>
      </c>
    </row>
    <row r="964" spans="26:57">
      <c r="Z964" s="20">
        <v>963</v>
      </c>
      <c r="AA964" s="28">
        <v>1</v>
      </c>
      <c r="AB964" s="28">
        <v>1</v>
      </c>
      <c r="AC964" s="29">
        <v>1</v>
      </c>
      <c r="AD964" s="30">
        <v>13910</v>
      </c>
      <c r="BA964">
        <v>963</v>
      </c>
      <c r="BB964" s="28">
        <v>1</v>
      </c>
      <c r="BC964" s="28">
        <v>0</v>
      </c>
      <c r="BD964" s="29">
        <v>0.99</v>
      </c>
      <c r="BE964" s="30">
        <v>17940</v>
      </c>
    </row>
    <row r="965" spans="26:57">
      <c r="Z965" s="20">
        <v>964</v>
      </c>
      <c r="AA965" s="28">
        <v>1</v>
      </c>
      <c r="AB965" s="28">
        <v>1</v>
      </c>
      <c r="AC965" s="29">
        <v>1</v>
      </c>
      <c r="AD965" s="30">
        <v>13580</v>
      </c>
      <c r="BA965">
        <v>964</v>
      </c>
      <c r="BB965" s="28">
        <v>1</v>
      </c>
      <c r="BC965" s="28">
        <v>1</v>
      </c>
      <c r="BD965" s="29">
        <v>1</v>
      </c>
      <c r="BE965" s="30">
        <v>16360</v>
      </c>
    </row>
    <row r="966" spans="26:57">
      <c r="Z966" s="20">
        <v>965</v>
      </c>
      <c r="AA966" s="28">
        <v>1</v>
      </c>
      <c r="AB966" s="28">
        <v>1</v>
      </c>
      <c r="AC966" s="29">
        <v>1</v>
      </c>
      <c r="AD966" s="30">
        <v>11440</v>
      </c>
      <c r="BA966">
        <v>965</v>
      </c>
      <c r="BB966" s="28">
        <v>1</v>
      </c>
      <c r="BC966" s="28">
        <v>0</v>
      </c>
      <c r="BD966" s="29">
        <v>0.99</v>
      </c>
      <c r="BE966" s="30">
        <v>17000</v>
      </c>
    </row>
    <row r="967" spans="26:57">
      <c r="Z967" s="20">
        <v>966</v>
      </c>
      <c r="AA967" s="28">
        <v>1</v>
      </c>
      <c r="AB967" s="28">
        <v>1</v>
      </c>
      <c r="AC967" s="29">
        <v>1</v>
      </c>
      <c r="AD967" s="30">
        <v>13590</v>
      </c>
      <c r="BA967">
        <v>966</v>
      </c>
      <c r="BB967" s="28">
        <v>1</v>
      </c>
      <c r="BC967" s="28">
        <v>1</v>
      </c>
      <c r="BD967" s="29">
        <v>1</v>
      </c>
      <c r="BE967" s="30">
        <v>17180</v>
      </c>
    </row>
    <row r="968" spans="26:57">
      <c r="Z968" s="20">
        <v>967</v>
      </c>
      <c r="AA968" s="28">
        <v>1</v>
      </c>
      <c r="AB968" s="28">
        <v>1</v>
      </c>
      <c r="AC968" s="29">
        <v>1</v>
      </c>
      <c r="AD968" s="30">
        <v>13810</v>
      </c>
      <c r="BA968">
        <v>967</v>
      </c>
      <c r="BB968" s="28">
        <v>1</v>
      </c>
      <c r="BC968" s="28">
        <v>0</v>
      </c>
      <c r="BD968" s="29">
        <v>0.99</v>
      </c>
      <c r="BE968" s="30">
        <v>16700</v>
      </c>
    </row>
    <row r="969" spans="26:57">
      <c r="Z969" s="20">
        <v>968</v>
      </c>
      <c r="AA969" s="28">
        <v>1</v>
      </c>
      <c r="AB969" s="28">
        <v>1</v>
      </c>
      <c r="AC969" s="29">
        <v>1</v>
      </c>
      <c r="AD969" s="30">
        <v>11830</v>
      </c>
      <c r="BA969">
        <v>968</v>
      </c>
      <c r="BB969" s="28">
        <v>1</v>
      </c>
      <c r="BC969" s="28">
        <v>1</v>
      </c>
      <c r="BD969" s="29">
        <v>1</v>
      </c>
      <c r="BE969" s="30">
        <v>19410</v>
      </c>
    </row>
    <row r="970" spans="26:57">
      <c r="Z970" s="20">
        <v>969</v>
      </c>
      <c r="AA970" s="28">
        <v>1</v>
      </c>
      <c r="AB970" s="28">
        <v>1</v>
      </c>
      <c r="AC970" s="29">
        <v>1</v>
      </c>
      <c r="AD970" s="30">
        <v>11290</v>
      </c>
      <c r="BA970">
        <v>969</v>
      </c>
      <c r="BB970" s="28">
        <v>1</v>
      </c>
      <c r="BC970" s="28">
        <v>1</v>
      </c>
      <c r="BD970" s="29">
        <v>1</v>
      </c>
      <c r="BE970" s="30">
        <v>16950</v>
      </c>
    </row>
    <row r="971" spans="26:57">
      <c r="Z971" s="20">
        <v>970</v>
      </c>
      <c r="AA971" s="28">
        <v>1</v>
      </c>
      <c r="AB971" s="28">
        <v>1</v>
      </c>
      <c r="AC971" s="29">
        <v>1</v>
      </c>
      <c r="AD971" s="30">
        <v>12980</v>
      </c>
      <c r="BA971">
        <v>970</v>
      </c>
      <c r="BB971" s="28">
        <v>1</v>
      </c>
      <c r="BC971" s="28">
        <v>0</v>
      </c>
      <c r="BD971" s="29">
        <v>0.98</v>
      </c>
      <c r="BE971" s="30">
        <v>16100</v>
      </c>
    </row>
    <row r="972" spans="26:57">
      <c r="Z972" s="20">
        <v>971</v>
      </c>
      <c r="AA972" s="28">
        <v>1</v>
      </c>
      <c r="AB972" s="28">
        <v>1</v>
      </c>
      <c r="AC972" s="29">
        <v>1</v>
      </c>
      <c r="AD972" s="30">
        <v>12320</v>
      </c>
      <c r="BA972">
        <v>971</v>
      </c>
      <c r="BB972" s="28">
        <v>1</v>
      </c>
      <c r="BC972" s="28">
        <v>0</v>
      </c>
      <c r="BD972" s="29">
        <v>0.99</v>
      </c>
      <c r="BE972" s="30">
        <v>15490</v>
      </c>
    </row>
    <row r="973" spans="26:57">
      <c r="Z973" s="20">
        <v>972</v>
      </c>
      <c r="AA973" s="28">
        <v>1</v>
      </c>
      <c r="AB973" s="28">
        <v>1</v>
      </c>
      <c r="AC973" s="29">
        <v>1</v>
      </c>
      <c r="AD973" s="30">
        <v>12110</v>
      </c>
      <c r="BA973">
        <v>972</v>
      </c>
      <c r="BB973" s="28">
        <v>1</v>
      </c>
      <c r="BC973" s="28">
        <v>1</v>
      </c>
      <c r="BD973" s="29">
        <v>1</v>
      </c>
      <c r="BE973" s="30">
        <v>18400</v>
      </c>
    </row>
    <row r="974" spans="26:57">
      <c r="Z974" s="20">
        <v>973</v>
      </c>
      <c r="AA974" s="28">
        <v>1</v>
      </c>
      <c r="AB974" s="28">
        <v>1</v>
      </c>
      <c r="AC974" s="29">
        <v>1</v>
      </c>
      <c r="AD974" s="30">
        <v>11580</v>
      </c>
      <c r="BA974">
        <v>973</v>
      </c>
      <c r="BB974" s="28">
        <v>1</v>
      </c>
      <c r="BC974" s="28">
        <v>1</v>
      </c>
      <c r="BD974" s="29">
        <v>1</v>
      </c>
      <c r="BE974" s="30">
        <v>15560</v>
      </c>
    </row>
    <row r="975" spans="26:57">
      <c r="Z975" s="20">
        <v>974</v>
      </c>
      <c r="AA975" s="28">
        <v>1</v>
      </c>
      <c r="AB975" s="28">
        <v>1</v>
      </c>
      <c r="AC975" s="29">
        <v>1</v>
      </c>
      <c r="AD975" s="30">
        <v>14040</v>
      </c>
      <c r="BA975">
        <v>974</v>
      </c>
      <c r="BB975" s="28">
        <v>1</v>
      </c>
      <c r="BC975" s="28">
        <v>1</v>
      </c>
      <c r="BD975" s="29">
        <v>1</v>
      </c>
      <c r="BE975" s="30">
        <v>17250</v>
      </c>
    </row>
    <row r="976" spans="26:57">
      <c r="Z976" s="20">
        <v>975</v>
      </c>
      <c r="AA976" s="28">
        <v>1</v>
      </c>
      <c r="AB976" s="28">
        <v>1</v>
      </c>
      <c r="AC976" s="29">
        <v>1</v>
      </c>
      <c r="AD976" s="30">
        <v>12980</v>
      </c>
      <c r="BA976">
        <v>975</v>
      </c>
      <c r="BB976" s="28">
        <v>1</v>
      </c>
      <c r="BC976" s="28">
        <v>1</v>
      </c>
      <c r="BD976" s="29">
        <v>1</v>
      </c>
      <c r="BE976" s="30">
        <v>15690</v>
      </c>
    </row>
    <row r="977" spans="26:57">
      <c r="Z977" s="20">
        <v>976</v>
      </c>
      <c r="AA977" s="28">
        <v>1</v>
      </c>
      <c r="AB977" s="28">
        <v>1</v>
      </c>
      <c r="AC977" s="29">
        <v>1</v>
      </c>
      <c r="AD977" s="30">
        <v>13670</v>
      </c>
      <c r="BA977">
        <v>976</v>
      </c>
      <c r="BB977" s="28">
        <v>1</v>
      </c>
      <c r="BC977" s="28">
        <v>1</v>
      </c>
      <c r="BD977" s="29">
        <v>1</v>
      </c>
      <c r="BE977" s="30">
        <v>18330</v>
      </c>
    </row>
    <row r="978" spans="26:57">
      <c r="Z978" s="20">
        <v>977</v>
      </c>
      <c r="AA978" s="28">
        <v>1</v>
      </c>
      <c r="AB978" s="28">
        <v>1</v>
      </c>
      <c r="AC978" s="29">
        <v>1</v>
      </c>
      <c r="AD978" s="30">
        <v>11720</v>
      </c>
      <c r="BA978">
        <v>977</v>
      </c>
      <c r="BB978" s="28">
        <v>1</v>
      </c>
      <c r="BC978" s="28">
        <v>1</v>
      </c>
      <c r="BD978" s="29">
        <v>1</v>
      </c>
      <c r="BE978" s="30">
        <v>14370</v>
      </c>
    </row>
    <row r="979" spans="26:57">
      <c r="Z979" s="20">
        <v>978</v>
      </c>
      <c r="AA979" s="28">
        <v>1</v>
      </c>
      <c r="AB979" s="28">
        <v>1</v>
      </c>
      <c r="AC979" s="29">
        <v>1</v>
      </c>
      <c r="AD979" s="30">
        <v>12870</v>
      </c>
      <c r="BA979">
        <v>978</v>
      </c>
      <c r="BB979" s="28">
        <v>1</v>
      </c>
      <c r="BC979" s="28">
        <v>0</v>
      </c>
      <c r="BD979" s="29">
        <v>0.99</v>
      </c>
      <c r="BE979" s="30">
        <v>16290</v>
      </c>
    </row>
    <row r="980" spans="26:57">
      <c r="Z980" s="20">
        <v>979</v>
      </c>
      <c r="AA980" s="28">
        <v>1</v>
      </c>
      <c r="AB980" s="28">
        <v>1</v>
      </c>
      <c r="AC980" s="29">
        <v>1</v>
      </c>
      <c r="AD980" s="30">
        <v>14040</v>
      </c>
      <c r="BA980">
        <v>979</v>
      </c>
      <c r="BB980" s="28">
        <v>1</v>
      </c>
      <c r="BC980" s="28">
        <v>1</v>
      </c>
      <c r="BD980" s="29">
        <v>1</v>
      </c>
      <c r="BE980" s="30">
        <v>16980</v>
      </c>
    </row>
    <row r="981" spans="26:57">
      <c r="Z981" s="20">
        <v>980</v>
      </c>
      <c r="AA981" s="28">
        <v>1</v>
      </c>
      <c r="AB981" s="28">
        <v>1</v>
      </c>
      <c r="AC981" s="29">
        <v>1</v>
      </c>
      <c r="AD981" s="30">
        <v>12410</v>
      </c>
      <c r="BA981">
        <v>980</v>
      </c>
      <c r="BB981" s="28">
        <v>1</v>
      </c>
      <c r="BC981" s="28">
        <v>1</v>
      </c>
      <c r="BD981" s="29">
        <v>1</v>
      </c>
      <c r="BE981" s="30">
        <v>16760</v>
      </c>
    </row>
    <row r="982" spans="26:57">
      <c r="Z982" s="20">
        <v>981</v>
      </c>
      <c r="AA982" s="28">
        <v>1</v>
      </c>
      <c r="AB982" s="28">
        <v>1</v>
      </c>
      <c r="AC982" s="29">
        <v>1</v>
      </c>
      <c r="AD982" s="30">
        <v>12110</v>
      </c>
      <c r="BA982">
        <v>981</v>
      </c>
      <c r="BB982" s="28">
        <v>1</v>
      </c>
      <c r="BC982" s="28">
        <v>1</v>
      </c>
      <c r="BD982" s="29">
        <v>1</v>
      </c>
      <c r="BE982" s="30">
        <v>17930</v>
      </c>
    </row>
    <row r="983" spans="26:57">
      <c r="Z983" s="20">
        <v>982</v>
      </c>
      <c r="AA983" s="28">
        <v>1</v>
      </c>
      <c r="AB983" s="28">
        <v>1</v>
      </c>
      <c r="AC983" s="29">
        <v>1</v>
      </c>
      <c r="AD983" s="30">
        <v>12600</v>
      </c>
      <c r="BA983">
        <v>982</v>
      </c>
      <c r="BB983" s="28">
        <v>1</v>
      </c>
      <c r="BC983" s="28">
        <v>0</v>
      </c>
      <c r="BD983" s="29">
        <v>0.99</v>
      </c>
      <c r="BE983" s="30">
        <v>17490</v>
      </c>
    </row>
    <row r="984" spans="26:57">
      <c r="Z984" s="20">
        <v>983</v>
      </c>
      <c r="AA984" s="28">
        <v>1</v>
      </c>
      <c r="AB984" s="28">
        <v>1</v>
      </c>
      <c r="AC984" s="29">
        <v>1</v>
      </c>
      <c r="AD984" s="30">
        <v>11010</v>
      </c>
      <c r="BA984">
        <v>983</v>
      </c>
      <c r="BB984" s="28">
        <v>1</v>
      </c>
      <c r="BC984" s="28">
        <v>1</v>
      </c>
      <c r="BD984" s="29">
        <v>1</v>
      </c>
      <c r="BE984" s="30">
        <v>16150</v>
      </c>
    </row>
    <row r="985" spans="26:57">
      <c r="Z985" s="20">
        <v>984</v>
      </c>
      <c r="AA985" s="28">
        <v>1</v>
      </c>
      <c r="AB985" s="28">
        <v>1</v>
      </c>
      <c r="AC985" s="29">
        <v>1</v>
      </c>
      <c r="AD985" s="30">
        <v>12750</v>
      </c>
      <c r="BA985">
        <v>984</v>
      </c>
      <c r="BB985" s="28">
        <v>1</v>
      </c>
      <c r="BC985" s="28">
        <v>1</v>
      </c>
      <c r="BD985" s="29">
        <v>1</v>
      </c>
      <c r="BE985" s="30">
        <v>16150</v>
      </c>
    </row>
    <row r="986" spans="26:57">
      <c r="Z986" s="20">
        <v>985</v>
      </c>
      <c r="AA986" s="28">
        <v>1</v>
      </c>
      <c r="AB986" s="28">
        <v>1</v>
      </c>
      <c r="AC986" s="29">
        <v>1</v>
      </c>
      <c r="AD986" s="30">
        <v>10840</v>
      </c>
      <c r="BA986">
        <v>985</v>
      </c>
      <c r="BB986" s="28">
        <v>1</v>
      </c>
      <c r="BC986" s="28">
        <v>1</v>
      </c>
      <c r="BD986" s="29">
        <v>1</v>
      </c>
      <c r="BE986" s="30">
        <v>18180</v>
      </c>
    </row>
    <row r="987" spans="26:57">
      <c r="Z987" s="20">
        <v>986</v>
      </c>
      <c r="AA987" s="28">
        <v>1</v>
      </c>
      <c r="AB987" s="28">
        <v>1</v>
      </c>
      <c r="AC987" s="29">
        <v>1</v>
      </c>
      <c r="AD987" s="30">
        <v>13920</v>
      </c>
      <c r="BA987">
        <v>986</v>
      </c>
      <c r="BB987" s="28">
        <v>1</v>
      </c>
      <c r="BC987" s="28">
        <v>1</v>
      </c>
      <c r="BD987" s="29">
        <v>1</v>
      </c>
      <c r="BE987" s="30">
        <v>20640</v>
      </c>
    </row>
    <row r="988" spans="26:57">
      <c r="Z988" s="20">
        <v>987</v>
      </c>
      <c r="AA988" s="28">
        <v>1</v>
      </c>
      <c r="AB988" s="28">
        <v>1</v>
      </c>
      <c r="AC988" s="29">
        <v>1</v>
      </c>
      <c r="AD988" s="30">
        <v>12040</v>
      </c>
      <c r="BA988">
        <v>987</v>
      </c>
      <c r="BB988" s="28">
        <v>1</v>
      </c>
      <c r="BC988" s="28">
        <v>0</v>
      </c>
      <c r="BD988" s="29">
        <v>0.99</v>
      </c>
      <c r="BE988" s="30">
        <v>15960</v>
      </c>
    </row>
    <row r="989" spans="26:57">
      <c r="Z989" s="20">
        <v>988</v>
      </c>
      <c r="AA989" s="28">
        <v>1</v>
      </c>
      <c r="AB989" s="28">
        <v>1</v>
      </c>
      <c r="AC989" s="29">
        <v>1</v>
      </c>
      <c r="AD989" s="30">
        <v>12540</v>
      </c>
      <c r="BA989">
        <v>988</v>
      </c>
      <c r="BB989" s="28">
        <v>1</v>
      </c>
      <c r="BC989" s="28">
        <v>1</v>
      </c>
      <c r="BD989" s="29">
        <v>1</v>
      </c>
      <c r="BE989" s="30">
        <v>15300</v>
      </c>
    </row>
    <row r="990" spans="26:57">
      <c r="Z990" s="20">
        <v>989</v>
      </c>
      <c r="AA990" s="28">
        <v>1</v>
      </c>
      <c r="AB990" s="28">
        <v>1</v>
      </c>
      <c r="AC990" s="29">
        <v>1</v>
      </c>
      <c r="AD990" s="30">
        <v>12240</v>
      </c>
      <c r="BA990">
        <v>989</v>
      </c>
      <c r="BB990" s="28">
        <v>1</v>
      </c>
      <c r="BC990" s="28">
        <v>0</v>
      </c>
      <c r="BD990" s="29">
        <v>0.99</v>
      </c>
      <c r="BE990" s="30">
        <v>16180</v>
      </c>
    </row>
    <row r="991" spans="26:57">
      <c r="Z991" s="20">
        <v>990</v>
      </c>
      <c r="AA991" s="28">
        <v>1</v>
      </c>
      <c r="AB991" s="28">
        <v>1</v>
      </c>
      <c r="AC991" s="29">
        <v>1</v>
      </c>
      <c r="AD991" s="30">
        <v>13000</v>
      </c>
      <c r="BA991">
        <v>990</v>
      </c>
      <c r="BB991" s="28">
        <v>1</v>
      </c>
      <c r="BC991" s="28">
        <v>0</v>
      </c>
      <c r="BD991" s="29">
        <v>0.99</v>
      </c>
      <c r="BE991" s="30">
        <v>15890</v>
      </c>
    </row>
    <row r="992" spans="26:57">
      <c r="Z992" s="20">
        <v>991</v>
      </c>
      <c r="AA992" s="28">
        <v>1</v>
      </c>
      <c r="AB992" s="28">
        <v>1</v>
      </c>
      <c r="AC992" s="29">
        <v>1</v>
      </c>
      <c r="AD992" s="30">
        <v>13970</v>
      </c>
      <c r="BA992">
        <v>991</v>
      </c>
      <c r="BB992" s="28">
        <v>1</v>
      </c>
      <c r="BC992" s="28">
        <v>1</v>
      </c>
      <c r="BD992" s="29">
        <v>1</v>
      </c>
      <c r="BE992" s="30">
        <v>14990</v>
      </c>
    </row>
    <row r="993" spans="26:57">
      <c r="Z993" s="20">
        <v>992</v>
      </c>
      <c r="AA993" s="28">
        <v>1</v>
      </c>
      <c r="AB993" s="28">
        <v>1</v>
      </c>
      <c r="AC993" s="29">
        <v>1</v>
      </c>
      <c r="AD993" s="30">
        <v>11710</v>
      </c>
      <c r="BA993">
        <v>992</v>
      </c>
      <c r="BB993" s="28">
        <v>1</v>
      </c>
      <c r="BC993" s="28">
        <v>0</v>
      </c>
      <c r="BD993" s="29">
        <v>0.98</v>
      </c>
      <c r="BE993" s="30">
        <v>17190</v>
      </c>
    </row>
    <row r="994" spans="26:57">
      <c r="Z994" s="20">
        <v>993</v>
      </c>
      <c r="AA994" s="28">
        <v>1</v>
      </c>
      <c r="AB994" s="28">
        <v>1</v>
      </c>
      <c r="AC994" s="29">
        <v>1</v>
      </c>
      <c r="AD994" s="30">
        <v>11820</v>
      </c>
      <c r="BA994">
        <v>993</v>
      </c>
      <c r="BB994" s="28">
        <v>1</v>
      </c>
      <c r="BC994" s="28">
        <v>0</v>
      </c>
      <c r="BD994" s="29">
        <v>0.97</v>
      </c>
      <c r="BE994" s="30">
        <v>17240</v>
      </c>
    </row>
    <row r="995" spans="26:57">
      <c r="Z995" s="20">
        <v>994</v>
      </c>
      <c r="AA995" s="28">
        <v>1</v>
      </c>
      <c r="AB995" s="28">
        <v>1</v>
      </c>
      <c r="AC995" s="29">
        <v>1</v>
      </c>
      <c r="AD995" s="30">
        <v>13570</v>
      </c>
      <c r="BA995">
        <v>994</v>
      </c>
      <c r="BB995" s="28">
        <v>1</v>
      </c>
      <c r="BC995" s="28">
        <v>0</v>
      </c>
      <c r="BD995" s="29">
        <v>0.98</v>
      </c>
      <c r="BE995" s="30">
        <v>17930</v>
      </c>
    </row>
    <row r="996" spans="26:57">
      <c r="Z996" s="20">
        <v>995</v>
      </c>
      <c r="AA996" s="28">
        <v>1</v>
      </c>
      <c r="AB996" s="28">
        <v>1</v>
      </c>
      <c r="AC996" s="29">
        <v>1</v>
      </c>
      <c r="AD996" s="30">
        <v>12120</v>
      </c>
      <c r="BA996">
        <v>995</v>
      </c>
      <c r="BB996" s="28">
        <v>1</v>
      </c>
      <c r="BC996" s="28">
        <v>1</v>
      </c>
      <c r="BD996" s="29">
        <v>1</v>
      </c>
      <c r="BE996" s="30">
        <v>15100</v>
      </c>
    </row>
    <row r="997" spans="26:57">
      <c r="Z997" s="20">
        <v>996</v>
      </c>
      <c r="AA997" s="28">
        <v>1</v>
      </c>
      <c r="AB997" s="28">
        <v>1</v>
      </c>
      <c r="AC997" s="29">
        <v>1</v>
      </c>
      <c r="AD997" s="30">
        <v>12440</v>
      </c>
      <c r="BA997">
        <v>996</v>
      </c>
      <c r="BB997" s="28">
        <v>1</v>
      </c>
      <c r="BC997" s="28">
        <v>0</v>
      </c>
      <c r="BD997" s="29">
        <v>0.97</v>
      </c>
      <c r="BE997" s="30">
        <v>17710</v>
      </c>
    </row>
    <row r="998" spans="26:57">
      <c r="Z998" s="20">
        <v>997</v>
      </c>
      <c r="AA998" s="28">
        <v>1</v>
      </c>
      <c r="AB998" s="28">
        <v>1</v>
      </c>
      <c r="AC998" s="29">
        <v>1</v>
      </c>
      <c r="AD998" s="30">
        <v>11240</v>
      </c>
      <c r="BA998">
        <v>997</v>
      </c>
      <c r="BB998" s="28">
        <v>1</v>
      </c>
      <c r="BC998" s="28">
        <v>1</v>
      </c>
      <c r="BD998" s="29">
        <v>1</v>
      </c>
      <c r="BE998" s="30">
        <v>16940</v>
      </c>
    </row>
    <row r="999" spans="26:57">
      <c r="Z999" s="20">
        <v>998</v>
      </c>
      <c r="AA999" s="28">
        <v>1</v>
      </c>
      <c r="AB999" s="28">
        <v>1</v>
      </c>
      <c r="AC999" s="29">
        <v>1</v>
      </c>
      <c r="AD999" s="30">
        <v>12210</v>
      </c>
      <c r="BA999">
        <v>998</v>
      </c>
      <c r="BB999" s="28">
        <v>1</v>
      </c>
      <c r="BC999" s="28">
        <v>0</v>
      </c>
      <c r="BD999" s="29">
        <v>0.99</v>
      </c>
      <c r="BE999" s="30">
        <v>18780</v>
      </c>
    </row>
    <row r="1000" spans="26:57">
      <c r="Z1000" s="20">
        <v>999</v>
      </c>
      <c r="AA1000" s="28">
        <v>1</v>
      </c>
      <c r="AB1000" s="28">
        <v>1</v>
      </c>
      <c r="AC1000" s="29">
        <v>1</v>
      </c>
      <c r="AD1000" s="30">
        <v>13610</v>
      </c>
      <c r="BA1000">
        <v>999</v>
      </c>
      <c r="BB1000" s="28">
        <v>1</v>
      </c>
      <c r="BC1000" s="28">
        <v>1</v>
      </c>
      <c r="BD1000" s="29">
        <v>1</v>
      </c>
      <c r="BE1000" s="30">
        <v>17340</v>
      </c>
    </row>
    <row r="1001" spans="26:57">
      <c r="Z1001" s="20">
        <v>1000</v>
      </c>
      <c r="AA1001" s="28">
        <v>1</v>
      </c>
      <c r="AB1001" s="28">
        <v>1</v>
      </c>
      <c r="AC1001" s="29">
        <v>1</v>
      </c>
      <c r="AD1001" s="30">
        <v>13450</v>
      </c>
      <c r="BA1001">
        <v>1000</v>
      </c>
      <c r="BB1001" s="28">
        <v>1</v>
      </c>
      <c r="BC1001" s="28">
        <v>0</v>
      </c>
      <c r="BD1001" s="29">
        <v>0.99</v>
      </c>
      <c r="BE1001" s="30">
        <v>17600</v>
      </c>
    </row>
  </sheetData>
  <mergeCells count="22">
    <mergeCell ref="A4:H4"/>
    <mergeCell ref="A10:H10"/>
    <mergeCell ref="A17:H17"/>
    <mergeCell ref="A24:H24"/>
    <mergeCell ref="A31:H31"/>
    <mergeCell ref="A38:H38"/>
    <mergeCell ref="A45:H45"/>
    <mergeCell ref="A52:H52"/>
    <mergeCell ref="A59:H59"/>
    <mergeCell ref="A66:H66"/>
    <mergeCell ref="A1:H2"/>
    <mergeCell ref="A5:H8"/>
    <mergeCell ref="A11:H15"/>
    <mergeCell ref="A18:H22"/>
    <mergeCell ref="A25:H29"/>
    <mergeCell ref="A32:H36"/>
    <mergeCell ref="A39:H43"/>
    <mergeCell ref="A46:H50"/>
    <mergeCell ref="A53:H57"/>
    <mergeCell ref="A60:H64"/>
    <mergeCell ref="A67:H71"/>
    <mergeCell ref="A74:H78"/>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0"/>
  <sheetViews>
    <sheetView workbookViewId="0">
      <selection activeCell="A1" sqref="A1:J2"/>
    </sheetView>
  </sheetViews>
  <sheetFormatPr defaultColWidth="9" defaultRowHeight="17.6"/>
  <cols>
    <col min="1" max="1" width="31" customWidth="1"/>
    <col min="2" max="6" width="15" customWidth="1"/>
    <col min="7" max="7" width="24" customWidth="1"/>
    <col min="8" max="8" width="3" customWidth="1"/>
  </cols>
  <sheetData>
    <row r="1" spans="1:16">
      <c r="A1" s="1" t="s">
        <v>120</v>
      </c>
      <c r="B1" s="1"/>
      <c r="C1" s="1"/>
      <c r="D1" s="1"/>
      <c r="E1" s="1"/>
      <c r="F1" s="1"/>
      <c r="G1" s="1"/>
      <c r="H1" s="1"/>
      <c r="I1" s="1"/>
      <c r="J1" s="1"/>
      <c r="K1" s="2"/>
      <c r="L1" s="2"/>
      <c r="M1" s="2"/>
      <c r="N1" s="2"/>
      <c r="O1" s="2"/>
      <c r="P1" s="2"/>
    </row>
    <row r="2" spans="1:16">
      <c r="A2" s="1"/>
      <c r="B2" s="1"/>
      <c r="C2" s="1"/>
      <c r="D2" s="1"/>
      <c r="E2" s="1"/>
      <c r="F2" s="1"/>
      <c r="G2" s="1"/>
      <c r="H2" s="1"/>
      <c r="I2" s="1"/>
      <c r="J2" s="1"/>
      <c r="K2" s="2"/>
      <c r="L2" s="2"/>
      <c r="M2" s="2"/>
      <c r="N2" s="2"/>
      <c r="O2" s="2"/>
      <c r="P2" s="2"/>
    </row>
    <row r="3" spans="1:16">
      <c r="A3" s="7" t="s">
        <v>121</v>
      </c>
      <c r="B3" s="7"/>
      <c r="C3" s="7"/>
      <c r="D3" s="7"/>
      <c r="E3" s="7"/>
      <c r="F3" s="7"/>
      <c r="G3" s="7"/>
      <c r="H3" s="7"/>
      <c r="I3" s="7"/>
      <c r="J3" s="7"/>
      <c r="K3" s="2"/>
      <c r="L3" s="2"/>
      <c r="M3" s="2"/>
      <c r="N3" s="2"/>
      <c r="O3" s="2"/>
      <c r="P3" s="2"/>
    </row>
    <row r="4" spans="1:16">
      <c r="A4" s="2"/>
      <c r="B4" s="2"/>
      <c r="C4" s="2"/>
      <c r="D4" s="2"/>
      <c r="E4" s="2"/>
      <c r="F4" s="2"/>
      <c r="G4" s="2"/>
      <c r="H4" s="2"/>
      <c r="I4" s="2"/>
      <c r="J4" s="2"/>
      <c r="K4" s="2"/>
      <c r="L4" s="2"/>
      <c r="M4" s="2"/>
      <c r="N4" s="2"/>
      <c r="O4" s="2"/>
      <c r="P4" s="2"/>
    </row>
    <row r="5" ht="36" spans="1:16">
      <c r="A5" s="3" t="s">
        <v>122</v>
      </c>
      <c r="B5" s="3" t="s">
        <v>123</v>
      </c>
      <c r="C5" s="3" t="s">
        <v>124</v>
      </c>
      <c r="D5" s="3" t="s">
        <v>125</v>
      </c>
      <c r="E5" s="3" t="s">
        <v>126</v>
      </c>
      <c r="F5" s="3" t="s">
        <v>127</v>
      </c>
      <c r="G5" s="3" t="s">
        <v>128</v>
      </c>
      <c r="H5" s="2"/>
      <c r="I5" s="2"/>
      <c r="J5" s="2"/>
      <c r="K5" s="2"/>
      <c r="L5" s="2"/>
      <c r="M5" s="2"/>
      <c r="N5" s="2"/>
      <c r="O5" s="2"/>
      <c r="P5" s="2"/>
    </row>
    <row r="6" ht="18" spans="1:16">
      <c r="A6" s="4" t="s">
        <v>129</v>
      </c>
      <c r="B6" s="8">
        <f ca="1">'1Healthcare'!AI1</f>
        <v>0.993</v>
      </c>
      <c r="C6" s="8">
        <f ca="1">'1Healthcare'!BJ1</f>
        <v>0.56</v>
      </c>
      <c r="D6" s="8">
        <f ca="1">C6-B6</f>
        <v>-0.433</v>
      </c>
      <c r="E6" s="8">
        <f ca="1">'1Healthcare'!AK1</f>
        <v>0.987829923473362</v>
      </c>
      <c r="F6" s="8">
        <f ca="1">'1Healthcare'!AM1</f>
        <v>0.998170076526638</v>
      </c>
      <c r="G6" s="4" t="str">
        <f ca="1">TEXT('1Healthcare'!BL1,"0.000")&amp;" – "&amp;TEXT('1Healthcare'!BN1,"0.000")</f>
        <v>0.529 – 0.591</v>
      </c>
      <c r="H6" s="2"/>
      <c r="I6" s="2"/>
      <c r="J6" s="2"/>
      <c r="K6" s="2"/>
      <c r="L6" s="2"/>
      <c r="M6" s="2"/>
      <c r="N6" s="2"/>
      <c r="O6" s="2"/>
      <c r="P6" s="2"/>
    </row>
    <row r="7" ht="18" spans="1:16">
      <c r="A7" s="4" t="s">
        <v>130</v>
      </c>
      <c r="B7" s="8">
        <f ca="1">'1Healthcare'!AI2</f>
        <v>0.993</v>
      </c>
      <c r="C7" s="8">
        <f ca="1">'1Healthcare'!BJ2</f>
        <v>0.996</v>
      </c>
      <c r="D7" s="8">
        <f ca="1">C7-B7</f>
        <v>0.003</v>
      </c>
      <c r="E7" s="8">
        <f ca="1">'1Healthcare'!AK2</f>
        <v>0.987829923473362</v>
      </c>
      <c r="F7" s="8">
        <f ca="1">'1Healthcare'!AM2</f>
        <v>0.998170076526638</v>
      </c>
      <c r="G7" s="4" t="str">
        <f ca="1">TEXT('1Healthcare'!BL2,"0.000")&amp;" – "&amp;TEXT('1Healthcare'!BN2,"0.000")</f>
        <v>0.992 – 1.000</v>
      </c>
      <c r="H7" s="2"/>
      <c r="I7" s="2"/>
      <c r="J7" s="2"/>
      <c r="K7" s="2"/>
      <c r="L7" s="2"/>
      <c r="M7" s="2"/>
      <c r="N7" s="2"/>
      <c r="O7" s="2"/>
      <c r="P7" s="2"/>
    </row>
    <row r="8" ht="18" spans="1:16">
      <c r="A8" s="4" t="s">
        <v>131</v>
      </c>
      <c r="B8" s="8">
        <f ca="1">'1Healthcare'!AI3</f>
        <v>1</v>
      </c>
      <c r="C8" s="8">
        <f ca="1">'1Healthcare'!BJ3</f>
        <v>0.993520000000004</v>
      </c>
      <c r="D8" s="8">
        <f ca="1">C8-B8</f>
        <v>-0.00647999999999582</v>
      </c>
      <c r="E8" s="8">
        <f ca="1">'1Healthcare'!AK3</f>
        <v>1</v>
      </c>
      <c r="F8" s="8">
        <f ca="1">'1Healthcare'!AM3</f>
        <v>1</v>
      </c>
      <c r="G8" s="4" t="str">
        <f ca="1">TEXT('1Healthcare'!BL3,"0.000")&amp;" – "&amp;TEXT('1Healthcare'!BN3,"0.000")</f>
        <v>0.993 – 0.994</v>
      </c>
      <c r="H8" s="2"/>
      <c r="I8" s="2"/>
      <c r="J8" s="2"/>
      <c r="K8" s="2"/>
      <c r="L8" s="2"/>
      <c r="M8" s="2"/>
      <c r="N8" s="2"/>
      <c r="O8" s="2"/>
      <c r="P8" s="2"/>
    </row>
    <row r="9" ht="18" spans="1:16">
      <c r="A9" s="4" t="s">
        <v>132</v>
      </c>
      <c r="B9" s="10">
        <f ca="1">'1Healthcare'!BR1</f>
        <v>12608.37</v>
      </c>
      <c r="C9" s="10">
        <f ca="1">'1Healthcare'!BR2</f>
        <v>17138.71</v>
      </c>
      <c r="D9" s="10">
        <f ca="1">C9-B9</f>
        <v>4530.34</v>
      </c>
      <c r="E9" s="10">
        <f ca="1">'1Healthcare'!BT1</f>
        <v>12548.1053436132</v>
      </c>
      <c r="F9" s="10">
        <f ca="1">'1Healthcare'!BV1</f>
        <v>12668.6346563868</v>
      </c>
      <c r="G9" s="4" t="str">
        <f ca="1">TEXT('1Healthcare'!BT2,"0.0")&amp;" – "&amp;TEXT('1Healthcare'!BV2,"0.0")</f>
        <v>17051.6 – 17225.9</v>
      </c>
      <c r="H9" s="2"/>
      <c r="I9" s="2"/>
      <c r="J9" s="2"/>
      <c r="K9" s="2"/>
      <c r="L9" s="2"/>
      <c r="M9" s="2"/>
      <c r="N9" s="2"/>
      <c r="O9" s="2"/>
      <c r="P9" s="2"/>
    </row>
    <row r="10" spans="1:16">
      <c r="A10" s="2"/>
      <c r="B10" s="2"/>
      <c r="C10" s="2"/>
      <c r="D10" s="2"/>
      <c r="E10" s="2"/>
      <c r="F10" s="2"/>
      <c r="G10" s="2"/>
      <c r="H10" s="2"/>
      <c r="I10" s="2"/>
      <c r="J10" s="2"/>
      <c r="K10" s="2"/>
      <c r="L10" s="2"/>
      <c r="M10" s="2"/>
      <c r="N10" s="2"/>
      <c r="O10" s="2"/>
      <c r="P10" s="2"/>
    </row>
    <row r="11" spans="1:16">
      <c r="A11" s="2"/>
      <c r="B11" s="2"/>
      <c r="C11" s="2"/>
      <c r="D11" s="2"/>
      <c r="E11" s="2"/>
      <c r="F11" s="2"/>
      <c r="G11" s="2"/>
      <c r="H11" s="2"/>
      <c r="I11" s="2"/>
      <c r="J11" s="2"/>
      <c r="K11" s="2"/>
      <c r="L11" s="2"/>
      <c r="M11" s="2"/>
      <c r="N11" s="2"/>
      <c r="O11" s="2"/>
      <c r="P11" s="2"/>
    </row>
    <row r="12" spans="1:16">
      <c r="A12" s="5" t="s">
        <v>133</v>
      </c>
      <c r="B12" s="5"/>
      <c r="C12" s="5"/>
      <c r="D12" s="5"/>
      <c r="E12" s="5"/>
      <c r="F12" s="5"/>
      <c r="G12" s="5"/>
      <c r="H12" s="5"/>
      <c r="I12" s="5"/>
      <c r="J12" s="5"/>
      <c r="K12" s="2"/>
      <c r="L12" s="2"/>
      <c r="M12" s="2"/>
      <c r="N12" s="2"/>
      <c r="O12" s="2"/>
      <c r="P12" s="2"/>
    </row>
    <row r="13" spans="1:16">
      <c r="A13" s="11" t="str">
        <f ca="1">"Across the 1,000-village Monte Carlo sample, protection changes the population die-out estimate from "&amp;TEXT(B6,"0.0%")&amp;" to "&amp;TEXT(C6,"0.0%")&amp;", a change of "&amp;TEXT(D6,"0.0%")&amp;". Disease extinction remains very high in both scenarios ("&amp;TEXT(B7,"0.0%")&amp;" vs. "&amp;TEXT(C7,"0.0%")&amp;"), showing why terminal disease status alone is not sufficient to evaluate the intervention. The average cumulative infection rate is "&amp;TEXT(B8,"0.0%")&amp;" without protection and "&amp;TEXT(C8,"0.0%")&amp;" with protection. Average cumulative tax revenue rises from $"&amp;TEXT(B9/1000,"0.00")&amp;"M to $"&amp;TEXT(C9/1000,"0.00")&amp;"M, an increase of about $"&amp;TEXT(D9/1000,"0.00")&amp;"M per simulated village over the horizon. The policy value in this model therefore comes primarily from preserving population and the associated tax base during the epidemic path."</f>
        <v>Across the 1,000-village Monte Carlo sample, protection changes the population die-out estimate from 99.3% to 56.0%, a change of -43.3%. Disease extinction remains very high in both scenarios (99.3% vs. 99.6%), showing why terminal disease status alone is not sufficient to evaluate the intervention. The average cumulative infection rate is 100.0% without protection and 99.4% with protection. Average cumulative tax revenue rises from $12.61M to $17.14M, an increase of about $4.53M per simulated village over the horizon. The policy value in this model therefore comes primarily from preserving population and the associated tax base during the epidemic path.</v>
      </c>
      <c r="B13" s="11"/>
      <c r="C13" s="11"/>
      <c r="D13" s="11"/>
      <c r="E13" s="11"/>
      <c r="F13" s="11"/>
      <c r="G13" s="11"/>
      <c r="H13" s="11"/>
      <c r="I13" s="11"/>
      <c r="J13" s="11"/>
      <c r="K13" s="2"/>
      <c r="L13" s="2"/>
      <c r="M13" s="2"/>
      <c r="N13" s="2"/>
      <c r="O13" s="2"/>
      <c r="P13" s="2"/>
    </row>
    <row r="14" spans="1:16">
      <c r="A14" s="11"/>
      <c r="B14" s="11"/>
      <c r="C14" s="11"/>
      <c r="D14" s="11"/>
      <c r="E14" s="11"/>
      <c r="F14" s="11"/>
      <c r="G14" s="11"/>
      <c r="H14" s="11"/>
      <c r="I14" s="11"/>
      <c r="J14" s="11"/>
      <c r="K14" s="2"/>
      <c r="L14" s="2"/>
      <c r="M14" s="2"/>
      <c r="N14" s="2"/>
      <c r="O14" s="2"/>
      <c r="P14" s="2"/>
    </row>
    <row r="15" spans="1:16">
      <c r="A15" s="11"/>
      <c r="B15" s="11"/>
      <c r="C15" s="11"/>
      <c r="D15" s="11"/>
      <c r="E15" s="11"/>
      <c r="F15" s="11"/>
      <c r="G15" s="11"/>
      <c r="H15" s="11"/>
      <c r="I15" s="11"/>
      <c r="J15" s="11"/>
      <c r="K15" s="2"/>
      <c r="L15" s="2"/>
      <c r="M15" s="2"/>
      <c r="N15" s="2"/>
      <c r="O15" s="2"/>
      <c r="P15" s="2"/>
    </row>
    <row r="16" spans="1:16">
      <c r="A16" s="11"/>
      <c r="B16" s="11"/>
      <c r="C16" s="11"/>
      <c r="D16" s="11"/>
      <c r="E16" s="11"/>
      <c r="F16" s="11"/>
      <c r="G16" s="11"/>
      <c r="H16" s="11"/>
      <c r="I16" s="11"/>
      <c r="J16" s="11"/>
      <c r="K16" s="2"/>
      <c r="L16" s="2"/>
      <c r="M16" s="2"/>
      <c r="N16" s="2"/>
      <c r="O16" s="2"/>
      <c r="P16" s="2"/>
    </row>
    <row r="17" spans="1:16">
      <c r="A17" s="11"/>
      <c r="B17" s="11"/>
      <c r="C17" s="11"/>
      <c r="D17" s="11"/>
      <c r="E17" s="11"/>
      <c r="F17" s="11"/>
      <c r="G17" s="11"/>
      <c r="H17" s="11"/>
      <c r="I17" s="11"/>
      <c r="J17" s="11"/>
      <c r="K17" s="2"/>
      <c r="L17" s="2"/>
      <c r="M17" s="2"/>
      <c r="N17" s="2"/>
      <c r="O17" s="2"/>
      <c r="P17" s="2"/>
    </row>
    <row r="18" spans="1:16">
      <c r="A18" s="11"/>
      <c r="B18" s="11"/>
      <c r="C18" s="11"/>
      <c r="D18" s="11"/>
      <c r="E18" s="11"/>
      <c r="F18" s="11"/>
      <c r="G18" s="11"/>
      <c r="H18" s="11"/>
      <c r="I18" s="11"/>
      <c r="J18" s="11"/>
      <c r="K18" s="2"/>
      <c r="L18" s="2"/>
      <c r="M18" s="2"/>
      <c r="N18" s="2"/>
      <c r="O18" s="2"/>
      <c r="P18" s="2"/>
    </row>
    <row r="19" spans="1:16">
      <c r="A19" s="11"/>
      <c r="B19" s="11"/>
      <c r="C19" s="11"/>
      <c r="D19" s="11"/>
      <c r="E19" s="11"/>
      <c r="F19" s="11"/>
      <c r="G19" s="11"/>
      <c r="H19" s="11"/>
      <c r="I19" s="11"/>
      <c r="J19" s="11"/>
      <c r="K19" s="2"/>
      <c r="L19" s="2"/>
      <c r="M19" s="2"/>
      <c r="N19" s="2"/>
      <c r="O19" s="2"/>
      <c r="P19" s="2"/>
    </row>
    <row r="20" spans="1:16">
      <c r="A20" s="11"/>
      <c r="B20" s="11"/>
      <c r="C20" s="11"/>
      <c r="D20" s="11"/>
      <c r="E20" s="11"/>
      <c r="F20" s="11"/>
      <c r="G20" s="11"/>
      <c r="H20" s="11"/>
      <c r="I20" s="11"/>
      <c r="J20" s="11"/>
      <c r="K20" s="2"/>
      <c r="L20" s="2"/>
      <c r="M20" s="2"/>
      <c r="N20" s="2"/>
      <c r="O20" s="2"/>
      <c r="P20" s="2"/>
    </row>
    <row r="21" spans="1:16">
      <c r="A21" s="2"/>
      <c r="B21" s="2"/>
      <c r="C21" s="2"/>
      <c r="D21" s="2"/>
      <c r="E21" s="2"/>
      <c r="F21" s="2"/>
      <c r="G21" s="2"/>
      <c r="H21" s="2"/>
      <c r="I21" s="2"/>
      <c r="J21" s="2"/>
      <c r="K21" s="2"/>
      <c r="L21" s="2"/>
      <c r="M21" s="2"/>
      <c r="N21" s="2"/>
      <c r="O21" s="2"/>
      <c r="P21" s="2"/>
    </row>
    <row r="22" spans="1:16">
      <c r="A22" s="2"/>
      <c r="B22" s="2"/>
      <c r="C22" s="2"/>
      <c r="D22" s="2"/>
      <c r="E22" s="2"/>
      <c r="F22" s="2"/>
      <c r="G22" s="2"/>
      <c r="H22" s="2"/>
      <c r="I22" s="2"/>
      <c r="J22" s="2"/>
      <c r="K22" s="2"/>
      <c r="L22" s="2"/>
      <c r="M22" s="2"/>
      <c r="N22" s="2"/>
      <c r="O22" s="2"/>
      <c r="P22" s="2"/>
    </row>
    <row r="23" spans="1:16">
      <c r="A23" s="5" t="s">
        <v>134</v>
      </c>
      <c r="B23" s="5"/>
      <c r="C23" s="5"/>
      <c r="D23" s="5"/>
      <c r="E23" s="5"/>
      <c r="F23" s="5"/>
      <c r="G23" s="5"/>
      <c r="H23" s="5"/>
      <c r="I23" s="5"/>
      <c r="J23" s="5"/>
      <c r="K23" s="2"/>
      <c r="L23" s="2"/>
      <c r="M23" s="2"/>
      <c r="N23" s="2"/>
      <c r="O23" s="2"/>
      <c r="P23" s="2"/>
    </row>
    <row r="24" spans="1:16">
      <c r="A24" s="12" t="s">
        <v>135</v>
      </c>
      <c r="B24" s="12"/>
      <c r="C24" s="12"/>
      <c r="D24" s="12"/>
      <c r="E24" s="12"/>
      <c r="F24" s="12"/>
      <c r="G24" s="12"/>
      <c r="H24" s="12"/>
      <c r="I24" s="12"/>
      <c r="J24" s="12"/>
      <c r="K24" s="2"/>
      <c r="L24" s="2"/>
      <c r="M24" s="2"/>
      <c r="N24" s="2"/>
      <c r="O24" s="2"/>
      <c r="P24" s="2"/>
    </row>
    <row r="25" spans="1:16">
      <c r="A25" s="12"/>
      <c r="B25" s="12"/>
      <c r="C25" s="12"/>
      <c r="D25" s="12"/>
      <c r="E25" s="12"/>
      <c r="F25" s="12"/>
      <c r="G25" s="12"/>
      <c r="H25" s="12"/>
      <c r="I25" s="12"/>
      <c r="J25" s="12"/>
      <c r="K25" s="2"/>
      <c r="L25" s="2"/>
      <c r="M25" s="2"/>
      <c r="N25" s="2"/>
      <c r="O25" s="2"/>
      <c r="P25" s="2"/>
    </row>
    <row r="26" spans="1:16">
      <c r="A26" s="12"/>
      <c r="B26" s="12"/>
      <c r="C26" s="12"/>
      <c r="D26" s="12"/>
      <c r="E26" s="12"/>
      <c r="F26" s="12"/>
      <c r="G26" s="12"/>
      <c r="H26" s="12"/>
      <c r="I26" s="12"/>
      <c r="J26" s="12"/>
      <c r="K26" s="2"/>
      <c r="L26" s="2"/>
      <c r="M26" s="2"/>
      <c r="N26" s="2"/>
      <c r="O26" s="2"/>
      <c r="P26" s="2"/>
    </row>
    <row r="27" spans="1:16">
      <c r="A27" s="12"/>
      <c r="B27" s="12"/>
      <c r="C27" s="12"/>
      <c r="D27" s="12"/>
      <c r="E27" s="12"/>
      <c r="F27" s="12"/>
      <c r="G27" s="12"/>
      <c r="H27" s="12"/>
      <c r="I27" s="12"/>
      <c r="J27" s="12"/>
      <c r="K27" s="2"/>
      <c r="L27" s="2"/>
      <c r="M27" s="2"/>
      <c r="N27" s="2"/>
      <c r="O27" s="2"/>
      <c r="P27" s="2"/>
    </row>
    <row r="28" spans="1:16">
      <c r="A28" s="12"/>
      <c r="B28" s="12"/>
      <c r="C28" s="12"/>
      <c r="D28" s="12"/>
      <c r="E28" s="12"/>
      <c r="F28" s="12"/>
      <c r="G28" s="12"/>
      <c r="H28" s="12"/>
      <c r="I28" s="12"/>
      <c r="J28" s="12"/>
      <c r="K28" s="2"/>
      <c r="L28" s="2"/>
      <c r="M28" s="2"/>
      <c r="N28" s="2"/>
      <c r="O28" s="2"/>
      <c r="P28" s="2"/>
    </row>
    <row r="29" spans="1:16">
      <c r="A29" s="12"/>
      <c r="B29" s="12"/>
      <c r="C29" s="12"/>
      <c r="D29" s="12"/>
      <c r="E29" s="12"/>
      <c r="F29" s="12"/>
      <c r="G29" s="12"/>
      <c r="H29" s="12"/>
      <c r="I29" s="12"/>
      <c r="J29" s="12"/>
      <c r="K29" s="2"/>
      <c r="L29" s="2"/>
      <c r="M29" s="2"/>
      <c r="N29" s="2"/>
      <c r="O29" s="2"/>
      <c r="P29" s="2"/>
    </row>
    <row r="30" spans="1:16">
      <c r="A30" s="12"/>
      <c r="B30" s="12"/>
      <c r="C30" s="12"/>
      <c r="D30" s="12"/>
      <c r="E30" s="12"/>
      <c r="F30" s="12"/>
      <c r="G30" s="12"/>
      <c r="H30" s="12"/>
      <c r="I30" s="12"/>
      <c r="J30" s="12"/>
      <c r="K30" s="2"/>
      <c r="L30" s="2"/>
      <c r="M30" s="2"/>
      <c r="N30" s="2"/>
      <c r="O30" s="2"/>
      <c r="P30" s="2"/>
    </row>
    <row r="31" spans="1:16">
      <c r="A31" s="12"/>
      <c r="B31" s="12"/>
      <c r="C31" s="12"/>
      <c r="D31" s="12"/>
      <c r="E31" s="12"/>
      <c r="F31" s="12"/>
      <c r="G31" s="12"/>
      <c r="H31" s="12"/>
      <c r="I31" s="12"/>
      <c r="J31" s="12"/>
      <c r="K31" s="2"/>
      <c r="L31" s="2"/>
      <c r="M31" s="2"/>
      <c r="N31" s="2"/>
      <c r="O31" s="2"/>
      <c r="P31" s="2"/>
    </row>
    <row r="32" spans="1:16">
      <c r="A32" s="2"/>
      <c r="B32" s="2"/>
      <c r="C32" s="2"/>
      <c r="D32" s="2"/>
      <c r="E32" s="2"/>
      <c r="F32" s="2"/>
      <c r="G32" s="2"/>
      <c r="H32" s="2"/>
      <c r="I32" s="2"/>
      <c r="J32" s="2"/>
      <c r="K32" s="2"/>
      <c r="L32" s="2"/>
      <c r="M32" s="2"/>
      <c r="N32" s="2"/>
      <c r="O32" s="2"/>
      <c r="P32" s="2"/>
    </row>
    <row r="33" spans="1:16">
      <c r="A33" s="2"/>
      <c r="B33" s="2"/>
      <c r="C33" s="2"/>
      <c r="D33" s="2"/>
      <c r="E33" s="2"/>
      <c r="F33" s="2"/>
      <c r="G33" s="2"/>
      <c r="H33" s="2"/>
      <c r="I33" s="2"/>
      <c r="J33" s="2"/>
      <c r="K33" s="2"/>
      <c r="L33" s="2"/>
      <c r="M33" s="2"/>
      <c r="N33" s="2"/>
      <c r="O33" s="2"/>
      <c r="P33" s="2"/>
    </row>
    <row r="34" spans="1:16">
      <c r="A34" s="2"/>
      <c r="B34" s="2"/>
      <c r="C34" s="2"/>
      <c r="D34" s="2"/>
      <c r="E34" s="2"/>
      <c r="F34" s="2"/>
      <c r="G34" s="2"/>
      <c r="H34" s="2"/>
      <c r="I34" s="2"/>
      <c r="J34" s="2"/>
      <c r="K34" s="2"/>
      <c r="L34" s="2"/>
      <c r="M34" s="2"/>
      <c r="N34" s="2"/>
      <c r="O34" s="2"/>
      <c r="P34" s="2"/>
    </row>
    <row r="35" spans="1:16">
      <c r="A35" s="2"/>
      <c r="B35" s="2"/>
      <c r="C35" s="2"/>
      <c r="D35" s="2"/>
      <c r="E35" s="2"/>
      <c r="F35" s="2"/>
      <c r="G35" s="2"/>
      <c r="H35" s="2"/>
      <c r="I35" s="13" t="s">
        <v>136</v>
      </c>
      <c r="J35" s="13" t="s">
        <v>137</v>
      </c>
      <c r="K35" s="13"/>
      <c r="L35" s="2"/>
      <c r="M35" s="2"/>
      <c r="N35" s="2"/>
      <c r="O35" s="2"/>
      <c r="P35" s="2"/>
    </row>
    <row r="36" spans="1:16">
      <c r="A36" s="2"/>
      <c r="B36" s="2"/>
      <c r="C36" s="2"/>
      <c r="D36" s="2"/>
      <c r="E36" s="2"/>
      <c r="F36" s="2"/>
      <c r="G36" s="2"/>
      <c r="H36" s="2"/>
      <c r="I36" s="13" t="s">
        <v>123</v>
      </c>
      <c r="J36" s="13">
        <f ca="1">B9</f>
        <v>12608.37</v>
      </c>
      <c r="K36" s="13"/>
      <c r="L36" s="2"/>
      <c r="M36" s="2"/>
      <c r="N36" s="2"/>
      <c r="O36" s="2"/>
      <c r="P36" s="2"/>
    </row>
    <row r="37" spans="1:16">
      <c r="A37" s="2"/>
      <c r="B37" s="2"/>
      <c r="C37" s="2"/>
      <c r="D37" s="2"/>
      <c r="E37" s="2"/>
      <c r="F37" s="2"/>
      <c r="G37" s="2"/>
      <c r="H37" s="2"/>
      <c r="I37" s="13" t="s">
        <v>124</v>
      </c>
      <c r="J37" s="13">
        <f ca="1">C9</f>
        <v>17138.71</v>
      </c>
      <c r="K37" s="13"/>
      <c r="L37" s="2"/>
      <c r="M37" s="2"/>
      <c r="N37" s="2"/>
      <c r="O37" s="2"/>
      <c r="P37" s="2"/>
    </row>
    <row r="38" spans="1:16">
      <c r="A38" s="2"/>
      <c r="B38" s="2"/>
      <c r="C38" s="2"/>
      <c r="D38" s="2"/>
      <c r="E38" s="2"/>
      <c r="F38" s="2"/>
      <c r="G38" s="2"/>
      <c r="H38" s="2"/>
      <c r="I38" s="2"/>
      <c r="J38" s="2"/>
      <c r="K38" s="2"/>
      <c r="L38" s="2"/>
      <c r="M38" s="2"/>
      <c r="N38" s="2"/>
      <c r="O38" s="2"/>
      <c r="P38" s="2"/>
    </row>
    <row r="39" spans="1:16">
      <c r="A39" s="2"/>
      <c r="B39" s="2"/>
      <c r="C39" s="2"/>
      <c r="D39" s="2"/>
      <c r="E39" s="2"/>
      <c r="F39" s="2"/>
      <c r="G39" s="2"/>
      <c r="H39" s="2"/>
      <c r="I39" s="2"/>
      <c r="J39" s="2"/>
      <c r="K39" s="2"/>
      <c r="L39" s="2"/>
      <c r="M39" s="2"/>
      <c r="N39" s="2"/>
      <c r="O39" s="2"/>
      <c r="P39" s="2"/>
    </row>
    <row r="40" spans="1:16">
      <c r="A40" s="2"/>
      <c r="B40" s="2"/>
      <c r="C40" s="2"/>
      <c r="D40" s="2"/>
      <c r="E40" s="2"/>
      <c r="F40" s="2"/>
      <c r="G40" s="2"/>
      <c r="H40" s="2"/>
      <c r="I40" s="2"/>
      <c r="J40" s="2"/>
      <c r="K40" s="2"/>
      <c r="L40" s="2"/>
      <c r="M40" s="2"/>
      <c r="N40" s="2"/>
      <c r="O40" s="2"/>
      <c r="P40" s="2"/>
    </row>
    <row r="41" spans="1:16">
      <c r="A41" s="2"/>
      <c r="B41" s="2"/>
      <c r="C41" s="2"/>
      <c r="D41" s="2"/>
      <c r="E41" s="2"/>
      <c r="F41" s="2"/>
      <c r="G41" s="2"/>
      <c r="H41" s="2"/>
      <c r="I41" s="2"/>
      <c r="J41" s="2"/>
      <c r="K41" s="2"/>
      <c r="L41" s="2"/>
      <c r="M41" s="2"/>
      <c r="N41" s="2"/>
      <c r="O41" s="2"/>
      <c r="P41" s="2"/>
    </row>
    <row r="42" spans="1:16">
      <c r="A42" s="2"/>
      <c r="B42" s="2"/>
      <c r="C42" s="2"/>
      <c r="D42" s="2"/>
      <c r="E42" s="2"/>
      <c r="F42" s="2"/>
      <c r="G42" s="2"/>
      <c r="H42" s="2"/>
      <c r="I42" s="2"/>
      <c r="J42" s="2"/>
      <c r="K42" s="2"/>
      <c r="L42" s="2"/>
      <c r="M42" s="2"/>
      <c r="N42" s="2"/>
      <c r="O42" s="2"/>
      <c r="P42" s="2"/>
    </row>
    <row r="43" spans="1:16">
      <c r="A43" s="2"/>
      <c r="B43" s="2"/>
      <c r="C43" s="2"/>
      <c r="D43" s="2"/>
      <c r="E43" s="2"/>
      <c r="F43" s="2"/>
      <c r="G43" s="2"/>
      <c r="H43" s="2"/>
      <c r="I43" s="2"/>
      <c r="J43" s="2"/>
      <c r="K43" s="2"/>
      <c r="L43" s="2"/>
      <c r="M43" s="2"/>
      <c r="N43" s="2"/>
      <c r="O43" s="2"/>
      <c r="P43" s="2"/>
    </row>
    <row r="44" spans="1:16">
      <c r="A44" s="2"/>
      <c r="B44" s="2"/>
      <c r="C44" s="2"/>
      <c r="D44" s="2"/>
      <c r="E44" s="2"/>
      <c r="F44" s="2"/>
      <c r="G44" s="2"/>
      <c r="H44" s="2"/>
      <c r="I44" s="2"/>
      <c r="J44" s="2"/>
      <c r="K44" s="2"/>
      <c r="L44" s="2"/>
      <c r="M44" s="2"/>
      <c r="N44" s="2"/>
      <c r="O44" s="2"/>
      <c r="P44" s="2"/>
    </row>
    <row r="45" spans="1:16">
      <c r="A45" s="2"/>
      <c r="B45" s="2"/>
      <c r="C45" s="2"/>
      <c r="D45" s="2"/>
      <c r="E45" s="2"/>
      <c r="F45" s="2"/>
      <c r="G45" s="2"/>
      <c r="H45" s="2"/>
      <c r="I45" s="2"/>
      <c r="J45" s="2"/>
      <c r="K45" s="2"/>
      <c r="L45" s="2"/>
      <c r="M45" s="2"/>
      <c r="N45" s="2"/>
      <c r="O45" s="2"/>
      <c r="P45" s="2"/>
    </row>
    <row r="46" spans="1:16">
      <c r="A46" s="2"/>
      <c r="B46" s="2"/>
      <c r="C46" s="2"/>
      <c r="D46" s="2"/>
      <c r="E46" s="2"/>
      <c r="F46" s="2"/>
      <c r="G46" s="2"/>
      <c r="H46" s="2"/>
      <c r="I46" s="2"/>
      <c r="J46" s="2"/>
      <c r="K46" s="2"/>
      <c r="L46" s="2"/>
      <c r="M46" s="2"/>
      <c r="N46" s="2"/>
      <c r="O46" s="2"/>
      <c r="P46" s="2"/>
    </row>
    <row r="47" spans="1:16">
      <c r="A47" s="2"/>
      <c r="B47" s="2"/>
      <c r="C47" s="2"/>
      <c r="D47" s="2"/>
      <c r="E47" s="2"/>
      <c r="F47" s="2"/>
      <c r="G47" s="2"/>
      <c r="H47" s="2"/>
      <c r="I47" s="2"/>
      <c r="J47" s="2"/>
      <c r="K47" s="2"/>
      <c r="L47" s="2"/>
      <c r="M47" s="2"/>
      <c r="N47" s="2"/>
      <c r="O47" s="2"/>
      <c r="P47" s="2"/>
    </row>
    <row r="48" spans="1:16">
      <c r="A48" s="2"/>
      <c r="B48" s="2"/>
      <c r="C48" s="2"/>
      <c r="D48" s="2"/>
      <c r="E48" s="2"/>
      <c r="F48" s="2"/>
      <c r="G48" s="2"/>
      <c r="H48" s="2"/>
      <c r="I48" s="2"/>
      <c r="J48" s="2"/>
      <c r="K48" s="2"/>
      <c r="L48" s="2"/>
      <c r="M48" s="2"/>
      <c r="N48" s="2"/>
      <c r="O48" s="2"/>
      <c r="P48" s="2"/>
    </row>
    <row r="49" spans="1:16">
      <c r="A49" s="2"/>
      <c r="B49" s="2"/>
      <c r="C49" s="2"/>
      <c r="D49" s="2"/>
      <c r="E49" s="2"/>
      <c r="F49" s="2"/>
      <c r="G49" s="2"/>
      <c r="H49" s="2"/>
      <c r="I49" s="2"/>
      <c r="J49" s="2"/>
      <c r="K49" s="2"/>
      <c r="L49" s="2"/>
      <c r="M49" s="2"/>
      <c r="N49" s="2"/>
      <c r="O49" s="2"/>
      <c r="P49" s="2"/>
    </row>
    <row r="50" spans="1:16">
      <c r="A50" s="2"/>
      <c r="B50" s="2"/>
      <c r="C50" s="2"/>
      <c r="D50" s="2"/>
      <c r="E50" s="2"/>
      <c r="F50" s="2"/>
      <c r="G50" s="2"/>
      <c r="H50" s="2"/>
      <c r="I50" s="2"/>
      <c r="J50" s="2"/>
      <c r="K50" s="2"/>
      <c r="L50" s="2"/>
      <c r="M50" s="2"/>
      <c r="N50" s="2"/>
      <c r="O50" s="2"/>
      <c r="P50" s="2"/>
    </row>
    <row r="51" spans="1:16">
      <c r="A51" s="2"/>
      <c r="B51" s="2"/>
      <c r="C51" s="2"/>
      <c r="D51" s="2"/>
      <c r="E51" s="2"/>
      <c r="F51" s="2"/>
      <c r="G51" s="2"/>
      <c r="H51" s="2"/>
      <c r="I51" s="2"/>
      <c r="J51" s="2"/>
      <c r="K51" s="2"/>
      <c r="L51" s="2"/>
      <c r="M51" s="2"/>
      <c r="N51" s="2"/>
      <c r="O51" s="2"/>
      <c r="P51" s="2"/>
    </row>
    <row r="52" spans="1:16">
      <c r="A52" s="2"/>
      <c r="B52" s="2"/>
      <c r="C52" s="2"/>
      <c r="D52" s="2"/>
      <c r="E52" s="2"/>
      <c r="F52" s="2"/>
      <c r="G52" s="2"/>
      <c r="H52" s="2"/>
      <c r="I52" s="2"/>
      <c r="J52" s="2"/>
      <c r="K52" s="2"/>
      <c r="L52" s="2"/>
      <c r="M52" s="2"/>
      <c r="N52" s="2"/>
      <c r="O52" s="2"/>
      <c r="P52" s="2"/>
    </row>
    <row r="53" spans="1:16">
      <c r="A53" s="2"/>
      <c r="B53" s="2"/>
      <c r="C53" s="2"/>
      <c r="D53" s="2"/>
      <c r="E53" s="2"/>
      <c r="F53" s="2"/>
      <c r="G53" s="2"/>
      <c r="H53" s="2"/>
      <c r="I53" s="2"/>
      <c r="J53" s="2"/>
      <c r="K53" s="2"/>
      <c r="L53" s="2"/>
      <c r="M53" s="2"/>
      <c r="N53" s="2"/>
      <c r="O53" s="2"/>
      <c r="P53" s="2"/>
    </row>
    <row r="54" spans="1:16">
      <c r="A54" s="2"/>
      <c r="B54" s="2"/>
      <c r="C54" s="2"/>
      <c r="D54" s="2"/>
      <c r="E54" s="2"/>
      <c r="F54" s="2"/>
      <c r="G54" s="2"/>
      <c r="H54" s="2"/>
      <c r="I54" s="2"/>
      <c r="J54" s="2"/>
      <c r="K54" s="2"/>
      <c r="L54" s="2"/>
      <c r="M54" s="2"/>
      <c r="N54" s="2"/>
      <c r="O54" s="2"/>
      <c r="P54" s="2"/>
    </row>
    <row r="55" spans="1:16">
      <c r="A55" s="2"/>
      <c r="B55" s="2"/>
      <c r="C55" s="2"/>
      <c r="D55" s="2"/>
      <c r="E55" s="2"/>
      <c r="F55" s="2"/>
      <c r="G55" s="2"/>
      <c r="H55" s="2"/>
      <c r="I55" s="2"/>
      <c r="J55" s="2"/>
      <c r="K55" s="2"/>
      <c r="L55" s="2"/>
      <c r="M55" s="2"/>
      <c r="N55" s="2"/>
      <c r="O55" s="2"/>
      <c r="P55" s="2"/>
    </row>
    <row r="56" spans="1:16">
      <c r="A56" s="2"/>
      <c r="B56" s="2"/>
      <c r="C56" s="2"/>
      <c r="D56" s="2"/>
      <c r="E56" s="2"/>
      <c r="F56" s="2"/>
      <c r="G56" s="2"/>
      <c r="H56" s="2"/>
      <c r="I56" s="2"/>
      <c r="J56" s="2"/>
      <c r="K56" s="2"/>
      <c r="L56" s="2"/>
      <c r="M56" s="2"/>
      <c r="N56" s="2"/>
      <c r="O56" s="2"/>
      <c r="P56" s="2"/>
    </row>
    <row r="57" spans="1:16">
      <c r="A57" s="2"/>
      <c r="B57" s="2"/>
      <c r="C57" s="2"/>
      <c r="D57" s="2"/>
      <c r="E57" s="2"/>
      <c r="F57" s="2"/>
      <c r="G57" s="2"/>
      <c r="H57" s="2"/>
      <c r="I57" s="2"/>
      <c r="J57" s="2"/>
      <c r="K57" s="2"/>
      <c r="L57" s="2"/>
      <c r="M57" s="2"/>
      <c r="N57" s="2"/>
      <c r="O57" s="2"/>
      <c r="P57" s="2"/>
    </row>
    <row r="58" spans="1:16">
      <c r="A58" s="2"/>
      <c r="B58" s="2"/>
      <c r="C58" s="2"/>
      <c r="D58" s="2"/>
      <c r="E58" s="2"/>
      <c r="F58" s="2"/>
      <c r="G58" s="2"/>
      <c r="H58" s="2"/>
      <c r="I58" s="2"/>
      <c r="J58" s="2"/>
      <c r="K58" s="2"/>
      <c r="L58" s="2"/>
      <c r="M58" s="2"/>
      <c r="N58" s="2"/>
      <c r="O58" s="2"/>
      <c r="P58" s="2"/>
    </row>
    <row r="59" spans="1:16">
      <c r="A59" s="2"/>
      <c r="B59" s="2"/>
      <c r="C59" s="2"/>
      <c r="D59" s="2"/>
      <c r="E59" s="2"/>
      <c r="F59" s="2"/>
      <c r="G59" s="2"/>
      <c r="H59" s="2"/>
      <c r="I59" s="2"/>
      <c r="J59" s="2"/>
      <c r="K59" s="2"/>
      <c r="L59" s="2"/>
      <c r="M59" s="2"/>
      <c r="N59" s="2"/>
      <c r="O59" s="2"/>
      <c r="P59" s="2"/>
    </row>
    <row r="60" spans="1:16">
      <c r="A60" s="2"/>
      <c r="B60" s="2"/>
      <c r="C60" s="2"/>
      <c r="D60" s="2"/>
      <c r="E60" s="2"/>
      <c r="F60" s="2"/>
      <c r="G60" s="2"/>
      <c r="H60" s="2"/>
      <c r="I60" s="2"/>
      <c r="J60" s="2"/>
      <c r="K60" s="2"/>
      <c r="L60" s="2"/>
      <c r="M60" s="2"/>
      <c r="N60" s="2"/>
      <c r="O60" s="2"/>
      <c r="P60" s="2"/>
    </row>
  </sheetData>
  <mergeCells count="6">
    <mergeCell ref="A3:J3"/>
    <mergeCell ref="A12:J12"/>
    <mergeCell ref="A23:J23"/>
    <mergeCell ref="A1:J2"/>
    <mergeCell ref="A13:J20"/>
    <mergeCell ref="A24:J31"/>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0"/>
  <sheetViews>
    <sheetView workbookViewId="0">
      <selection activeCell="B9" sqref="B9"/>
    </sheetView>
  </sheetViews>
  <sheetFormatPr defaultColWidth="9" defaultRowHeight="17.6"/>
  <cols>
    <col min="1" max="1" width="12" customWidth="1"/>
    <col min="2" max="9" width="17" customWidth="1"/>
  </cols>
  <sheetData>
    <row r="1" spans="1:16">
      <c r="A1" s="1" t="s">
        <v>138</v>
      </c>
      <c r="B1" s="1"/>
      <c r="C1" s="1"/>
      <c r="D1" s="1"/>
      <c r="E1" s="1"/>
      <c r="F1" s="1"/>
      <c r="G1" s="1"/>
      <c r="H1" s="1"/>
      <c r="I1" s="1"/>
      <c r="J1" s="1"/>
      <c r="K1" s="2"/>
      <c r="L1" s="2"/>
      <c r="M1" s="2"/>
      <c r="N1" s="2"/>
      <c r="O1" s="2"/>
      <c r="P1" s="2"/>
    </row>
    <row r="2" spans="1:16">
      <c r="A2" s="1"/>
      <c r="B2" s="1"/>
      <c r="C2" s="1"/>
      <c r="D2" s="1"/>
      <c r="E2" s="1"/>
      <c r="F2" s="1"/>
      <c r="G2" s="1"/>
      <c r="H2" s="1"/>
      <c r="I2" s="1"/>
      <c r="J2" s="1"/>
      <c r="K2" s="2"/>
      <c r="L2" s="2"/>
      <c r="M2" s="2"/>
      <c r="N2" s="2"/>
      <c r="O2" s="2"/>
      <c r="P2" s="2"/>
    </row>
    <row r="3" spans="1:16">
      <c r="A3" s="7" t="s">
        <v>139</v>
      </c>
      <c r="B3" s="7"/>
      <c r="C3" s="7"/>
      <c r="D3" s="7"/>
      <c r="E3" s="7"/>
      <c r="F3" s="7"/>
      <c r="G3" s="7"/>
      <c r="H3" s="7"/>
      <c r="I3" s="7"/>
      <c r="J3" s="7"/>
      <c r="K3" s="2"/>
      <c r="L3" s="2"/>
      <c r="M3" s="2"/>
      <c r="N3" s="2"/>
      <c r="O3" s="2"/>
      <c r="P3" s="2"/>
    </row>
    <row r="4" spans="1:16">
      <c r="A4" s="7"/>
      <c r="B4" s="7"/>
      <c r="C4" s="7"/>
      <c r="D4" s="7"/>
      <c r="E4" s="7"/>
      <c r="F4" s="7"/>
      <c r="G4" s="7"/>
      <c r="H4" s="7"/>
      <c r="I4" s="7"/>
      <c r="J4" s="7"/>
      <c r="K4" s="2"/>
      <c r="L4" s="2"/>
      <c r="M4" s="2"/>
      <c r="N4" s="2"/>
      <c r="O4" s="2"/>
      <c r="P4" s="2"/>
    </row>
    <row r="5" spans="1:16">
      <c r="A5" s="2"/>
      <c r="B5" s="2"/>
      <c r="C5" s="2"/>
      <c r="D5" s="2"/>
      <c r="E5" s="2"/>
      <c r="F5" s="2"/>
      <c r="G5" s="2"/>
      <c r="H5" s="2"/>
      <c r="I5" s="2"/>
      <c r="J5" s="2"/>
      <c r="K5" s="2"/>
      <c r="L5" s="2"/>
      <c r="M5" s="2"/>
      <c r="N5" s="2"/>
      <c r="O5" s="2"/>
      <c r="P5" s="2"/>
    </row>
    <row r="6" ht="36" spans="1:16">
      <c r="A6" s="3" t="s">
        <v>102</v>
      </c>
      <c r="B6" s="3" t="s">
        <v>140</v>
      </c>
      <c r="C6" s="3" t="s">
        <v>141</v>
      </c>
      <c r="D6" s="3" t="s">
        <v>142</v>
      </c>
      <c r="E6" s="3" t="s">
        <v>143</v>
      </c>
      <c r="F6" s="3" t="s">
        <v>144</v>
      </c>
      <c r="G6" s="3" t="s">
        <v>145</v>
      </c>
      <c r="H6" s="3" t="s">
        <v>146</v>
      </c>
      <c r="I6" s="3" t="s">
        <v>147</v>
      </c>
      <c r="J6" s="2"/>
      <c r="K6" s="2" t="s">
        <v>102</v>
      </c>
      <c r="L6" s="2" t="s">
        <v>123</v>
      </c>
      <c r="M6" s="2" t="s">
        <v>124</v>
      </c>
      <c r="N6" s="2"/>
      <c r="O6" s="2"/>
      <c r="P6" s="2"/>
    </row>
    <row r="7" spans="1:16">
      <c r="A7" s="4">
        <v>50</v>
      </c>
      <c r="B7" s="8">
        <f ca="1">AVERAGE('1Healthcare'!$AB$2:$AB$51)</f>
        <v>1</v>
      </c>
      <c r="C7" s="8">
        <f ca="1">AVERAGE('1Healthcare'!$BC$2:$BC$51)</f>
        <v>0.58</v>
      </c>
      <c r="D7" s="8">
        <f ca="1">AVERAGE('1Healthcare'!$AA$2:$AA$51)</f>
        <v>1</v>
      </c>
      <c r="E7" s="8">
        <f ca="1">AVERAGE('1Healthcare'!$BB$2:$BB$51)</f>
        <v>1</v>
      </c>
      <c r="F7" s="8">
        <f ca="1">AVERAGE('1Healthcare'!$AC$2:$AC$51)</f>
        <v>1</v>
      </c>
      <c r="G7" s="8">
        <f ca="1">AVERAGE('1Healthcare'!$BD$2:$BD$51)</f>
        <v>0.9934</v>
      </c>
      <c r="H7" s="10">
        <f ca="1">AVERAGE('1Healthcare'!$AD$2:$AD$51)</f>
        <v>12701.4</v>
      </c>
      <c r="I7" s="10">
        <f ca="1">AVERAGE('1Healthcare'!$BE$2:$BE$51)</f>
        <v>16815.8</v>
      </c>
      <c r="J7" s="2"/>
      <c r="K7" s="2">
        <v>50</v>
      </c>
      <c r="L7" s="2">
        <f ca="1" t="shared" ref="L7:L12" si="0">H7</f>
        <v>12701.4</v>
      </c>
      <c r="M7" s="2">
        <f ca="1" t="shared" ref="M7:M12" si="1">I7</f>
        <v>16815.8</v>
      </c>
      <c r="N7" s="2"/>
      <c r="O7" s="2"/>
      <c r="P7" s="2"/>
    </row>
    <row r="8" spans="1:16">
      <c r="A8" s="4">
        <v>100</v>
      </c>
      <c r="B8" s="8">
        <f ca="1">AVERAGE('1Healthcare'!$AB$2:$AB$101)</f>
        <v>0.99</v>
      </c>
      <c r="C8" s="8">
        <f ca="1">AVERAGE('1Healthcare'!$BC$2:$BC$101)</f>
        <v>0.56</v>
      </c>
      <c r="D8" s="8">
        <f ca="1">AVERAGE('1Healthcare'!$AA$2:$AA$101)</f>
        <v>0.99</v>
      </c>
      <c r="E8" s="8">
        <f ca="1">AVERAGE('1Healthcare'!$BB$2:$BB$101)</f>
        <v>1</v>
      </c>
      <c r="F8" s="8">
        <f ca="1">AVERAGE('1Healthcare'!$AC$2:$AC$101)</f>
        <v>1</v>
      </c>
      <c r="G8" s="8">
        <f ca="1">AVERAGE('1Healthcare'!$BD$2:$BD$101)</f>
        <v>0.9935</v>
      </c>
      <c r="H8" s="10">
        <f ca="1">AVERAGE('1Healthcare'!$AD$2:$AD$101)</f>
        <v>12535.4</v>
      </c>
      <c r="I8" s="10">
        <f ca="1">AVERAGE('1Healthcare'!$BE$2:$BE$101)</f>
        <v>16941.7</v>
      </c>
      <c r="J8" s="2"/>
      <c r="K8" s="2">
        <v>100</v>
      </c>
      <c r="L8" s="2">
        <f ca="1" t="shared" si="0"/>
        <v>12535.4</v>
      </c>
      <c r="M8" s="2">
        <f ca="1" t="shared" si="1"/>
        <v>16941.7</v>
      </c>
      <c r="N8" s="2"/>
      <c r="O8" s="2"/>
      <c r="P8" s="2"/>
    </row>
    <row r="9" spans="1:16">
      <c r="A9" s="4">
        <v>250</v>
      </c>
      <c r="B9" s="8">
        <f ca="1">AVERAGE('1Healthcare'!$AB$2:$AB$251)</f>
        <v>0.988</v>
      </c>
      <c r="C9" s="8">
        <f ca="1">AVERAGE('1Healthcare'!$BC$2:$BC$251)</f>
        <v>0.58</v>
      </c>
      <c r="D9" s="8">
        <f ca="1">AVERAGE('1Healthcare'!$AA$2:$AA$251)</f>
        <v>0.988</v>
      </c>
      <c r="E9" s="8">
        <f ca="1">AVERAGE('1Healthcare'!$BB$2:$BB$251)</f>
        <v>0.996</v>
      </c>
      <c r="F9" s="8">
        <f ca="1">AVERAGE('1Healthcare'!$AC$2:$AC$251)</f>
        <v>1</v>
      </c>
      <c r="G9" s="8">
        <f ca="1">AVERAGE('1Healthcare'!$BD$2:$BD$251)</f>
        <v>0.994040000000001</v>
      </c>
      <c r="H9" s="10">
        <f ca="1">AVERAGE('1Healthcare'!$AD$2:$AD$251)</f>
        <v>12580.44</v>
      </c>
      <c r="I9" s="10">
        <f ca="1">AVERAGE('1Healthcare'!$BE$2:$BE$251)</f>
        <v>16920</v>
      </c>
      <c r="J9" s="2"/>
      <c r="K9" s="2">
        <v>250</v>
      </c>
      <c r="L9" s="2">
        <f ca="1" t="shared" si="0"/>
        <v>12580.44</v>
      </c>
      <c r="M9" s="2">
        <f ca="1" t="shared" si="1"/>
        <v>16920</v>
      </c>
      <c r="N9" s="2"/>
      <c r="O9" s="2"/>
      <c r="P9" s="2"/>
    </row>
    <row r="10" spans="1:16">
      <c r="A10" s="4">
        <v>500</v>
      </c>
      <c r="B10" s="8">
        <f ca="1">AVERAGE('1Healthcare'!$AB$2:$AB$501)</f>
        <v>0.99</v>
      </c>
      <c r="C10" s="8">
        <f ca="1">AVERAGE('1Healthcare'!$BC$2:$BC$501)</f>
        <v>0.558</v>
      </c>
      <c r="D10" s="8">
        <f ca="1">AVERAGE('1Healthcare'!$AA$2:$AA$501)</f>
        <v>0.99</v>
      </c>
      <c r="E10" s="8">
        <f ca="1">AVERAGE('1Healthcare'!$BB$2:$BB$501)</f>
        <v>0.996</v>
      </c>
      <c r="F10" s="8">
        <f ca="1">AVERAGE('1Healthcare'!$AC$2:$AC$501)</f>
        <v>1</v>
      </c>
      <c r="G10" s="8">
        <f ca="1">AVERAGE('1Healthcare'!$BD$2:$BD$501)</f>
        <v>0.993680000000003</v>
      </c>
      <c r="H10" s="10">
        <f ca="1">AVERAGE('1Healthcare'!$AD$2:$AD$501)</f>
        <v>12605.1</v>
      </c>
      <c r="I10" s="10">
        <f ca="1">AVERAGE('1Healthcare'!$BE$2:$BE$501)</f>
        <v>17111.42</v>
      </c>
      <c r="J10" s="2"/>
      <c r="K10" s="2">
        <v>500</v>
      </c>
      <c r="L10" s="2">
        <f ca="1" t="shared" si="0"/>
        <v>12605.1</v>
      </c>
      <c r="M10" s="2">
        <f ca="1" t="shared" si="1"/>
        <v>17111.42</v>
      </c>
      <c r="N10" s="2"/>
      <c r="O10" s="2"/>
      <c r="P10" s="2"/>
    </row>
    <row r="11" spans="1:16">
      <c r="A11" s="4">
        <v>750</v>
      </c>
      <c r="B11" s="8">
        <f ca="1">AVERAGE('1Healthcare'!$AB$2:$AB$751)</f>
        <v>0.992</v>
      </c>
      <c r="C11" s="8">
        <f ca="1">AVERAGE('1Healthcare'!$BC$2:$BC$751)</f>
        <v>0.556</v>
      </c>
      <c r="D11" s="8">
        <f ca="1">AVERAGE('1Healthcare'!$AA$2:$AA$751)</f>
        <v>0.992</v>
      </c>
      <c r="E11" s="8">
        <f ca="1">AVERAGE('1Healthcare'!$BB$2:$BB$751)</f>
        <v>0.994666666666667</v>
      </c>
      <c r="F11" s="8">
        <f ca="1">AVERAGE('1Healthcare'!$AC$2:$AC$751)</f>
        <v>1</v>
      </c>
      <c r="G11" s="8">
        <f ca="1">AVERAGE('1Healthcare'!$BD$2:$BD$751)</f>
        <v>0.993613333333337</v>
      </c>
      <c r="H11" s="10">
        <f ca="1">AVERAGE('1Healthcare'!$AD$2:$AD$751)</f>
        <v>12607.92</v>
      </c>
      <c r="I11" s="10">
        <f ca="1">AVERAGE('1Healthcare'!$BE$2:$BE$751)</f>
        <v>17108.5466666667</v>
      </c>
      <c r="J11" s="2"/>
      <c r="K11" s="2">
        <v>750</v>
      </c>
      <c r="L11" s="2">
        <f ca="1" t="shared" si="0"/>
        <v>12607.92</v>
      </c>
      <c r="M11" s="2">
        <f ca="1" t="shared" si="1"/>
        <v>17108.5466666667</v>
      </c>
      <c r="N11" s="2"/>
      <c r="O11" s="2"/>
      <c r="P11" s="2"/>
    </row>
    <row r="12" spans="1:16">
      <c r="A12" s="4">
        <v>1000</v>
      </c>
      <c r="B12" s="8">
        <f ca="1">AVERAGE('1Healthcare'!$AB$2:$AB$1001)</f>
        <v>0.993</v>
      </c>
      <c r="C12" s="8">
        <f ca="1">AVERAGE('1Healthcare'!$BC$2:$BC$1001)</f>
        <v>0.56</v>
      </c>
      <c r="D12" s="8">
        <f ca="1">AVERAGE('1Healthcare'!$AA$2:$AA$1001)</f>
        <v>0.993</v>
      </c>
      <c r="E12" s="8">
        <f ca="1">AVERAGE('1Healthcare'!$BB$2:$BB$1001)</f>
        <v>0.996</v>
      </c>
      <c r="F12" s="8">
        <f ca="1">AVERAGE('1Healthcare'!$AC$2:$AC$1001)</f>
        <v>1</v>
      </c>
      <c r="G12" s="8">
        <f ca="1">AVERAGE('1Healthcare'!$BD$2:$BD$1001)</f>
        <v>0.993520000000004</v>
      </c>
      <c r="H12" s="10">
        <f ca="1">AVERAGE('1Healthcare'!$AD$2:$AD$1001)</f>
        <v>12608.37</v>
      </c>
      <c r="I12" s="10">
        <f ca="1">AVERAGE('1Healthcare'!$BE$2:$BE$1001)</f>
        <v>17138.71</v>
      </c>
      <c r="J12" s="2"/>
      <c r="K12" s="2">
        <v>1000</v>
      </c>
      <c r="L12" s="2">
        <f ca="1" t="shared" si="0"/>
        <v>12608.37</v>
      </c>
      <c r="M12" s="2">
        <f ca="1" t="shared" si="1"/>
        <v>17138.71</v>
      </c>
      <c r="N12" s="2"/>
      <c r="O12" s="2"/>
      <c r="P12" s="2"/>
    </row>
    <row r="13" spans="1:16">
      <c r="A13" s="2"/>
      <c r="B13" s="2"/>
      <c r="C13" s="2"/>
      <c r="D13" s="2"/>
      <c r="E13" s="2"/>
      <c r="F13" s="2"/>
      <c r="G13" s="2"/>
      <c r="H13" s="2"/>
      <c r="I13" s="2"/>
      <c r="J13" s="2"/>
      <c r="K13" s="2"/>
      <c r="L13" s="2"/>
      <c r="M13" s="2"/>
      <c r="N13" s="2"/>
      <c r="O13" s="2"/>
      <c r="P13" s="2"/>
    </row>
    <row r="14" spans="1:16">
      <c r="A14" s="2"/>
      <c r="B14" s="2"/>
      <c r="C14" s="2"/>
      <c r="D14" s="2"/>
      <c r="E14" s="2"/>
      <c r="F14" s="2"/>
      <c r="G14" s="2"/>
      <c r="H14" s="2"/>
      <c r="I14" s="2"/>
      <c r="J14" s="2"/>
      <c r="K14" s="2"/>
      <c r="L14" s="2"/>
      <c r="M14" s="2"/>
      <c r="N14" s="2"/>
      <c r="O14" s="2"/>
      <c r="P14" s="2"/>
    </row>
    <row r="15" spans="1:16">
      <c r="A15" s="2"/>
      <c r="B15" s="2"/>
      <c r="C15" s="2"/>
      <c r="D15" s="2"/>
      <c r="E15" s="2"/>
      <c r="F15" s="2"/>
      <c r="G15" s="2"/>
      <c r="H15" s="2"/>
      <c r="I15" s="2"/>
      <c r="J15" s="2"/>
      <c r="K15" s="2"/>
      <c r="L15" s="2"/>
      <c r="M15" s="2"/>
      <c r="N15" s="2"/>
      <c r="O15" s="2"/>
      <c r="P15" s="2"/>
    </row>
    <row r="16" spans="1:16">
      <c r="A16" s="2"/>
      <c r="B16" s="2"/>
      <c r="C16" s="2"/>
      <c r="D16" s="2"/>
      <c r="E16" s="2"/>
      <c r="F16" s="2"/>
      <c r="G16" s="2"/>
      <c r="H16" s="2"/>
      <c r="I16" s="2"/>
      <c r="J16" s="2"/>
      <c r="K16" s="2"/>
      <c r="L16" s="2"/>
      <c r="M16" s="2"/>
      <c r="N16" s="2"/>
      <c r="O16" s="2"/>
      <c r="P16" s="2"/>
    </row>
    <row r="17" spans="1:16">
      <c r="A17" s="2"/>
      <c r="B17" s="2"/>
      <c r="C17" s="2"/>
      <c r="D17" s="2"/>
      <c r="E17" s="2"/>
      <c r="F17" s="2"/>
      <c r="G17" s="2"/>
      <c r="H17" s="2"/>
      <c r="I17" s="2"/>
      <c r="J17" s="2"/>
      <c r="K17" s="2"/>
      <c r="L17" s="2"/>
      <c r="M17" s="2"/>
      <c r="N17" s="2"/>
      <c r="O17" s="2"/>
      <c r="P17" s="2"/>
    </row>
    <row r="18" spans="1:16">
      <c r="A18" s="2"/>
      <c r="B18" s="2"/>
      <c r="C18" s="2"/>
      <c r="D18" s="2"/>
      <c r="E18" s="2"/>
      <c r="F18" s="2"/>
      <c r="G18" s="2"/>
      <c r="H18" s="2"/>
      <c r="I18" s="2"/>
      <c r="J18" s="2"/>
      <c r="K18" s="2"/>
      <c r="L18" s="2"/>
      <c r="M18" s="2"/>
      <c r="N18" s="2"/>
      <c r="O18" s="2"/>
      <c r="P18" s="2"/>
    </row>
    <row r="19" spans="1:16">
      <c r="A19" s="2"/>
      <c r="B19" s="2"/>
      <c r="C19" s="2"/>
      <c r="D19" s="2"/>
      <c r="E19" s="2"/>
      <c r="F19" s="2"/>
      <c r="G19" s="2"/>
      <c r="H19" s="2"/>
      <c r="I19" s="2"/>
      <c r="J19" s="2"/>
      <c r="K19" s="2"/>
      <c r="L19" s="2"/>
      <c r="M19" s="2"/>
      <c r="N19" s="2"/>
      <c r="O19" s="2"/>
      <c r="P19" s="2"/>
    </row>
    <row r="20" spans="1:16">
      <c r="A20" s="2"/>
      <c r="B20" s="2"/>
      <c r="C20" s="2"/>
      <c r="D20" s="2"/>
      <c r="E20" s="2"/>
      <c r="F20" s="2"/>
      <c r="G20" s="2"/>
      <c r="H20" s="2"/>
      <c r="I20" s="2"/>
      <c r="J20" s="2"/>
      <c r="K20" s="2"/>
      <c r="L20" s="2"/>
      <c r="M20" s="2"/>
      <c r="N20" s="2"/>
      <c r="O20" s="2"/>
      <c r="P20" s="2"/>
    </row>
    <row r="21" spans="1:16">
      <c r="A21" s="2"/>
      <c r="B21" s="2"/>
      <c r="C21" s="2"/>
      <c r="D21" s="2"/>
      <c r="E21" s="2"/>
      <c r="F21" s="2"/>
      <c r="G21" s="2"/>
      <c r="H21" s="2"/>
      <c r="I21" s="2"/>
      <c r="J21" s="2"/>
      <c r="K21" s="2"/>
      <c r="L21" s="2"/>
      <c r="M21" s="2"/>
      <c r="N21" s="2"/>
      <c r="O21" s="2"/>
      <c r="P21" s="2"/>
    </row>
    <row r="22" spans="1:16">
      <c r="A22" s="2"/>
      <c r="B22" s="2"/>
      <c r="C22" s="2"/>
      <c r="D22" s="2"/>
      <c r="E22" s="2"/>
      <c r="F22" s="2"/>
      <c r="G22" s="2"/>
      <c r="H22" s="2"/>
      <c r="I22" s="2"/>
      <c r="J22" s="2"/>
      <c r="K22" s="2"/>
      <c r="L22" s="2"/>
      <c r="M22" s="2"/>
      <c r="N22" s="2"/>
      <c r="O22" s="2"/>
      <c r="P22" s="2"/>
    </row>
    <row r="23" spans="1:16">
      <c r="A23" s="2"/>
      <c r="B23" s="2"/>
      <c r="C23" s="2"/>
      <c r="D23" s="2"/>
      <c r="E23" s="2"/>
      <c r="F23" s="2"/>
      <c r="G23" s="2"/>
      <c r="H23" s="2"/>
      <c r="I23" s="2"/>
      <c r="J23" s="2"/>
      <c r="K23" s="2"/>
      <c r="L23" s="2"/>
      <c r="M23" s="2"/>
      <c r="N23" s="2"/>
      <c r="O23" s="2"/>
      <c r="P23" s="2"/>
    </row>
    <row r="24" spans="1:16">
      <c r="A24" s="2"/>
      <c r="B24" s="2"/>
      <c r="C24" s="2"/>
      <c r="D24" s="2"/>
      <c r="E24" s="2"/>
      <c r="F24" s="2"/>
      <c r="G24" s="2"/>
      <c r="H24" s="2"/>
      <c r="I24" s="2"/>
      <c r="J24" s="2"/>
      <c r="K24" s="2"/>
      <c r="L24" s="2"/>
      <c r="M24" s="2"/>
      <c r="N24" s="2"/>
      <c r="O24" s="2"/>
      <c r="P24" s="2"/>
    </row>
    <row r="25" spans="1:16">
      <c r="A25" s="2"/>
      <c r="B25" s="2"/>
      <c r="C25" s="2"/>
      <c r="D25" s="2"/>
      <c r="E25" s="2"/>
      <c r="F25" s="2"/>
      <c r="G25" s="2"/>
      <c r="H25" s="2"/>
      <c r="I25" s="2"/>
      <c r="J25" s="2"/>
      <c r="K25" s="2"/>
      <c r="L25" s="2"/>
      <c r="M25" s="2"/>
      <c r="N25" s="2"/>
      <c r="O25" s="2"/>
      <c r="P25" s="2"/>
    </row>
    <row r="26" spans="1:16">
      <c r="A26" s="2"/>
      <c r="B26" s="2"/>
      <c r="C26" s="2"/>
      <c r="D26" s="2"/>
      <c r="E26" s="2"/>
      <c r="F26" s="2"/>
      <c r="G26" s="2"/>
      <c r="H26" s="2"/>
      <c r="I26" s="2"/>
      <c r="J26" s="2"/>
      <c r="K26" s="2"/>
      <c r="L26" s="2"/>
      <c r="M26" s="2"/>
      <c r="N26" s="2"/>
      <c r="O26" s="2"/>
      <c r="P26" s="2"/>
    </row>
    <row r="27" spans="1:16">
      <c r="A27" s="2"/>
      <c r="B27" s="2"/>
      <c r="C27" s="2"/>
      <c r="D27" s="2"/>
      <c r="E27" s="2"/>
      <c r="F27" s="2"/>
      <c r="G27" s="2"/>
      <c r="H27" s="2"/>
      <c r="I27" s="2"/>
      <c r="J27" s="2"/>
      <c r="K27" s="2"/>
      <c r="L27" s="2"/>
      <c r="M27" s="2"/>
      <c r="N27" s="2"/>
      <c r="O27" s="2"/>
      <c r="P27" s="2"/>
    </row>
    <row r="28" spans="1:16">
      <c r="A28" s="2"/>
      <c r="B28" s="2"/>
      <c r="C28" s="2"/>
      <c r="D28" s="2"/>
      <c r="E28" s="2"/>
      <c r="F28" s="2"/>
      <c r="G28" s="2"/>
      <c r="H28" s="2"/>
      <c r="I28" s="2"/>
      <c r="J28" s="2"/>
      <c r="K28" s="2"/>
      <c r="L28" s="2"/>
      <c r="M28" s="2"/>
      <c r="N28" s="2"/>
      <c r="O28" s="2"/>
      <c r="P28" s="2"/>
    </row>
    <row r="29" spans="1:16">
      <c r="A29" s="2"/>
      <c r="B29" s="2"/>
      <c r="C29" s="2"/>
      <c r="D29" s="2"/>
      <c r="E29" s="2"/>
      <c r="F29" s="2"/>
      <c r="G29" s="2"/>
      <c r="H29" s="2"/>
      <c r="I29" s="2"/>
      <c r="J29" s="2"/>
      <c r="K29" s="2"/>
      <c r="L29" s="2"/>
      <c r="M29" s="2"/>
      <c r="N29" s="2"/>
      <c r="O29" s="2"/>
      <c r="P29" s="2"/>
    </row>
    <row r="30" spans="1:16">
      <c r="A30" s="2"/>
      <c r="B30" s="2"/>
      <c r="C30" s="2"/>
      <c r="D30" s="2"/>
      <c r="E30" s="2"/>
      <c r="F30" s="2"/>
      <c r="G30" s="2"/>
      <c r="H30" s="2"/>
      <c r="I30" s="2"/>
      <c r="J30" s="2"/>
      <c r="K30" s="2"/>
      <c r="L30" s="2"/>
      <c r="M30" s="2"/>
      <c r="N30" s="2"/>
      <c r="O30" s="2"/>
      <c r="P30" s="2"/>
    </row>
    <row r="31" spans="1:16">
      <c r="A31" s="2"/>
      <c r="B31" s="2"/>
      <c r="C31" s="2"/>
      <c r="D31" s="2"/>
      <c r="E31" s="2"/>
      <c r="F31" s="2"/>
      <c r="G31" s="2"/>
      <c r="H31" s="2"/>
      <c r="I31" s="2"/>
      <c r="J31" s="2"/>
      <c r="K31" s="2"/>
      <c r="L31" s="2"/>
      <c r="M31" s="2"/>
      <c r="N31" s="2"/>
      <c r="O31" s="2"/>
      <c r="P31" s="2"/>
    </row>
    <row r="32" spans="1:16">
      <c r="A32" s="9" t="s">
        <v>148</v>
      </c>
      <c r="B32" s="9"/>
      <c r="C32" s="9"/>
      <c r="D32" s="9"/>
      <c r="E32" s="9"/>
      <c r="F32" s="9"/>
      <c r="G32" s="9"/>
      <c r="H32" s="9"/>
      <c r="I32" s="9"/>
      <c r="J32" s="9"/>
      <c r="K32" s="2"/>
      <c r="L32" s="2"/>
      <c r="M32" s="2"/>
      <c r="N32" s="2"/>
      <c r="O32" s="2"/>
      <c r="P32" s="2"/>
    </row>
    <row r="33" spans="1:16">
      <c r="A33" s="9"/>
      <c r="B33" s="9"/>
      <c r="C33" s="9"/>
      <c r="D33" s="9"/>
      <c r="E33" s="9"/>
      <c r="F33" s="9"/>
      <c r="G33" s="9"/>
      <c r="H33" s="9"/>
      <c r="I33" s="9"/>
      <c r="J33" s="9"/>
      <c r="K33" s="2"/>
      <c r="L33" s="2"/>
      <c r="M33" s="2"/>
      <c r="N33" s="2"/>
      <c r="O33" s="2"/>
      <c r="P33" s="2"/>
    </row>
    <row r="34" spans="1:16">
      <c r="A34" s="9"/>
      <c r="B34" s="9"/>
      <c r="C34" s="9"/>
      <c r="D34" s="9"/>
      <c r="E34" s="9"/>
      <c r="F34" s="9"/>
      <c r="G34" s="9"/>
      <c r="H34" s="9"/>
      <c r="I34" s="9"/>
      <c r="J34" s="9"/>
      <c r="K34" s="2"/>
      <c r="L34" s="2"/>
      <c r="M34" s="2"/>
      <c r="N34" s="2"/>
      <c r="O34" s="2"/>
      <c r="P34" s="2"/>
    </row>
    <row r="35" spans="1:16">
      <c r="A35" s="9"/>
      <c r="B35" s="9"/>
      <c r="C35" s="9"/>
      <c r="D35" s="9"/>
      <c r="E35" s="9"/>
      <c r="F35" s="9"/>
      <c r="G35" s="9"/>
      <c r="H35" s="9"/>
      <c r="I35" s="9"/>
      <c r="J35" s="9"/>
      <c r="K35" s="2"/>
      <c r="L35" s="2"/>
      <c r="M35" s="2"/>
      <c r="N35" s="2"/>
      <c r="O35" s="2"/>
      <c r="P35" s="2"/>
    </row>
    <row r="36" spans="1:16">
      <c r="A36" s="9"/>
      <c r="B36" s="9"/>
      <c r="C36" s="9"/>
      <c r="D36" s="9"/>
      <c r="E36" s="9"/>
      <c r="F36" s="9"/>
      <c r="G36" s="9"/>
      <c r="H36" s="9"/>
      <c r="I36" s="9"/>
      <c r="J36" s="9"/>
      <c r="K36" s="2"/>
      <c r="L36" s="2"/>
      <c r="M36" s="2"/>
      <c r="N36" s="2"/>
      <c r="O36" s="2"/>
      <c r="P36" s="2"/>
    </row>
    <row r="37" spans="1:16">
      <c r="A37" s="9"/>
      <c r="B37" s="9"/>
      <c r="C37" s="9"/>
      <c r="D37" s="9"/>
      <c r="E37" s="9"/>
      <c r="F37" s="9"/>
      <c r="G37" s="9"/>
      <c r="H37" s="9"/>
      <c r="I37" s="9"/>
      <c r="J37" s="9"/>
      <c r="K37" s="2"/>
      <c r="L37" s="2"/>
      <c r="M37" s="2"/>
      <c r="N37" s="2"/>
      <c r="O37" s="2"/>
      <c r="P37" s="2"/>
    </row>
    <row r="38" spans="1:16">
      <c r="A38" s="2"/>
      <c r="B38" s="2"/>
      <c r="C38" s="2"/>
      <c r="D38" s="2"/>
      <c r="E38" s="2"/>
      <c r="F38" s="2"/>
      <c r="G38" s="2"/>
      <c r="H38" s="2"/>
      <c r="I38" s="2"/>
      <c r="J38" s="2"/>
      <c r="K38" s="2"/>
      <c r="L38" s="2"/>
      <c r="M38" s="2"/>
      <c r="N38" s="2"/>
      <c r="O38" s="2"/>
      <c r="P38" s="2"/>
    </row>
    <row r="39" spans="1:16">
      <c r="A39" s="2"/>
      <c r="B39" s="2"/>
      <c r="C39" s="2"/>
      <c r="D39" s="2"/>
      <c r="E39" s="2"/>
      <c r="F39" s="2"/>
      <c r="G39" s="2"/>
      <c r="H39" s="2"/>
      <c r="I39" s="2"/>
      <c r="J39" s="2"/>
      <c r="K39" s="2"/>
      <c r="L39" s="2"/>
      <c r="M39" s="2"/>
      <c r="N39" s="2"/>
      <c r="O39" s="2"/>
      <c r="P39" s="2"/>
    </row>
    <row r="40" spans="1:16">
      <c r="A40" s="2"/>
      <c r="B40" s="2"/>
      <c r="C40" s="2"/>
      <c r="D40" s="2"/>
      <c r="E40" s="2"/>
      <c r="F40" s="2"/>
      <c r="G40" s="2"/>
      <c r="H40" s="2"/>
      <c r="I40" s="2"/>
      <c r="J40" s="2"/>
      <c r="K40" s="2"/>
      <c r="L40" s="2"/>
      <c r="M40" s="2"/>
      <c r="N40" s="2"/>
      <c r="O40" s="2"/>
      <c r="P40" s="2"/>
    </row>
    <row r="41" spans="1:16">
      <c r="A41" s="2"/>
      <c r="B41" s="2"/>
      <c r="C41" s="2"/>
      <c r="D41" s="2"/>
      <c r="E41" s="2"/>
      <c r="F41" s="2"/>
      <c r="G41" s="2"/>
      <c r="H41" s="2"/>
      <c r="I41" s="2"/>
      <c r="J41" s="2"/>
      <c r="K41" s="2"/>
      <c r="L41" s="2"/>
      <c r="M41" s="2"/>
      <c r="N41" s="2"/>
      <c r="O41" s="2"/>
      <c r="P41" s="2"/>
    </row>
    <row r="42" spans="1:16">
      <c r="A42" s="2"/>
      <c r="B42" s="2"/>
      <c r="C42" s="2"/>
      <c r="D42" s="2"/>
      <c r="E42" s="2"/>
      <c r="F42" s="2"/>
      <c r="G42" s="2"/>
      <c r="H42" s="2"/>
      <c r="I42" s="2"/>
      <c r="J42" s="2"/>
      <c r="K42" s="2"/>
      <c r="L42" s="2"/>
      <c r="M42" s="2"/>
      <c r="N42" s="2"/>
      <c r="O42" s="2"/>
      <c r="P42" s="2"/>
    </row>
    <row r="43" spans="1:16">
      <c r="A43" s="2"/>
      <c r="B43" s="2"/>
      <c r="C43" s="2"/>
      <c r="D43" s="2"/>
      <c r="E43" s="2"/>
      <c r="F43" s="2"/>
      <c r="G43" s="2"/>
      <c r="H43" s="2"/>
      <c r="I43" s="2"/>
      <c r="J43" s="2"/>
      <c r="K43" s="2"/>
      <c r="L43" s="2"/>
      <c r="M43" s="2"/>
      <c r="N43" s="2"/>
      <c r="O43" s="2"/>
      <c r="P43" s="2"/>
    </row>
    <row r="44" spans="1:16">
      <c r="A44" s="2"/>
      <c r="B44" s="2"/>
      <c r="C44" s="2"/>
      <c r="D44" s="2"/>
      <c r="E44" s="2"/>
      <c r="F44" s="2"/>
      <c r="G44" s="2"/>
      <c r="H44" s="2"/>
      <c r="I44" s="2"/>
      <c r="J44" s="2"/>
      <c r="K44" s="2"/>
      <c r="L44" s="2"/>
      <c r="M44" s="2"/>
      <c r="N44" s="2"/>
      <c r="O44" s="2"/>
      <c r="P44" s="2"/>
    </row>
    <row r="45" spans="1:16">
      <c r="A45" s="2"/>
      <c r="B45" s="2"/>
      <c r="C45" s="2"/>
      <c r="D45" s="2"/>
      <c r="E45" s="2"/>
      <c r="F45" s="2"/>
      <c r="G45" s="2"/>
      <c r="H45" s="2"/>
      <c r="I45" s="2"/>
      <c r="J45" s="2"/>
      <c r="K45" s="2"/>
      <c r="L45" s="2"/>
      <c r="M45" s="2"/>
      <c r="N45" s="2"/>
      <c r="O45" s="2"/>
      <c r="P45" s="2"/>
    </row>
    <row r="46" spans="1:16">
      <c r="A46" s="2"/>
      <c r="B46" s="2"/>
      <c r="C46" s="2"/>
      <c r="D46" s="2"/>
      <c r="E46" s="2"/>
      <c r="F46" s="2"/>
      <c r="G46" s="2"/>
      <c r="H46" s="2"/>
      <c r="I46" s="2"/>
      <c r="J46" s="2"/>
      <c r="K46" s="2"/>
      <c r="L46" s="2"/>
      <c r="M46" s="2"/>
      <c r="N46" s="2"/>
      <c r="O46" s="2"/>
      <c r="P46" s="2"/>
    </row>
    <row r="47" spans="1:16">
      <c r="A47" s="2"/>
      <c r="B47" s="2"/>
      <c r="C47" s="2"/>
      <c r="D47" s="2"/>
      <c r="E47" s="2"/>
      <c r="F47" s="2"/>
      <c r="G47" s="2"/>
      <c r="H47" s="2"/>
      <c r="I47" s="2"/>
      <c r="J47" s="2"/>
      <c r="K47" s="2"/>
      <c r="L47" s="2"/>
      <c r="M47" s="2"/>
      <c r="N47" s="2"/>
      <c r="O47" s="2"/>
      <c r="P47" s="2"/>
    </row>
    <row r="48" spans="1:16">
      <c r="A48" s="2"/>
      <c r="B48" s="2"/>
      <c r="C48" s="2"/>
      <c r="D48" s="2"/>
      <c r="E48" s="2"/>
      <c r="F48" s="2"/>
      <c r="G48" s="2"/>
      <c r="H48" s="2"/>
      <c r="I48" s="2"/>
      <c r="J48" s="2"/>
      <c r="K48" s="2"/>
      <c r="L48" s="2"/>
      <c r="M48" s="2"/>
      <c r="N48" s="2"/>
      <c r="O48" s="2"/>
      <c r="P48" s="2"/>
    </row>
    <row r="49" spans="1:16">
      <c r="A49" s="2"/>
      <c r="B49" s="2"/>
      <c r="C49" s="2"/>
      <c r="D49" s="2"/>
      <c r="E49" s="2"/>
      <c r="F49" s="2"/>
      <c r="G49" s="2"/>
      <c r="H49" s="2"/>
      <c r="I49" s="2"/>
      <c r="J49" s="2"/>
      <c r="K49" s="2"/>
      <c r="L49" s="2"/>
      <c r="M49" s="2"/>
      <c r="N49" s="2"/>
      <c r="O49" s="2"/>
      <c r="P49" s="2"/>
    </row>
    <row r="50" spans="1:16">
      <c r="A50" s="2"/>
      <c r="B50" s="2"/>
      <c r="C50" s="2"/>
      <c r="D50" s="2"/>
      <c r="E50" s="2"/>
      <c r="F50" s="2"/>
      <c r="G50" s="2"/>
      <c r="H50" s="2"/>
      <c r="I50" s="2"/>
      <c r="J50" s="2"/>
      <c r="K50" s="2"/>
      <c r="L50" s="2"/>
      <c r="M50" s="2"/>
      <c r="N50" s="2"/>
      <c r="O50" s="2"/>
      <c r="P50" s="2"/>
    </row>
    <row r="51" spans="1:16">
      <c r="A51" s="2"/>
      <c r="B51" s="2"/>
      <c r="C51" s="2"/>
      <c r="D51" s="2"/>
      <c r="E51" s="2"/>
      <c r="F51" s="2"/>
      <c r="G51" s="2"/>
      <c r="H51" s="2"/>
      <c r="I51" s="2"/>
      <c r="J51" s="2"/>
      <c r="K51" s="2"/>
      <c r="L51" s="2"/>
      <c r="M51" s="2"/>
      <c r="N51" s="2"/>
      <c r="O51" s="2"/>
      <c r="P51" s="2"/>
    </row>
    <row r="52" spans="1:16">
      <c r="A52" s="2"/>
      <c r="B52" s="2"/>
      <c r="C52" s="2"/>
      <c r="D52" s="2"/>
      <c r="E52" s="2"/>
      <c r="F52" s="2"/>
      <c r="G52" s="2"/>
      <c r="H52" s="2"/>
      <c r="I52" s="2"/>
      <c r="J52" s="2"/>
      <c r="K52" s="2"/>
      <c r="L52" s="2"/>
      <c r="M52" s="2"/>
      <c r="N52" s="2"/>
      <c r="O52" s="2"/>
      <c r="P52" s="2"/>
    </row>
    <row r="53" spans="1:16">
      <c r="A53" s="2"/>
      <c r="B53" s="2"/>
      <c r="C53" s="2"/>
      <c r="D53" s="2"/>
      <c r="E53" s="2"/>
      <c r="F53" s="2"/>
      <c r="G53" s="2"/>
      <c r="H53" s="2"/>
      <c r="I53" s="2"/>
      <c r="J53" s="2"/>
      <c r="K53" s="2"/>
      <c r="L53" s="2"/>
      <c r="M53" s="2"/>
      <c r="N53" s="2"/>
      <c r="O53" s="2"/>
      <c r="P53" s="2"/>
    </row>
    <row r="54" spans="1:16">
      <c r="A54" s="2"/>
      <c r="B54" s="2"/>
      <c r="C54" s="2"/>
      <c r="D54" s="2"/>
      <c r="E54" s="2"/>
      <c r="F54" s="2"/>
      <c r="G54" s="2"/>
      <c r="H54" s="2"/>
      <c r="I54" s="2"/>
      <c r="J54" s="2"/>
      <c r="K54" s="2"/>
      <c r="L54" s="2"/>
      <c r="M54" s="2"/>
      <c r="N54" s="2"/>
      <c r="O54" s="2"/>
      <c r="P54" s="2"/>
    </row>
    <row r="55" spans="1:16">
      <c r="A55" s="2"/>
      <c r="B55" s="2"/>
      <c r="C55" s="2"/>
      <c r="D55" s="2"/>
      <c r="E55" s="2"/>
      <c r="F55" s="2"/>
      <c r="G55" s="2"/>
      <c r="H55" s="2"/>
      <c r="I55" s="2"/>
      <c r="J55" s="2"/>
      <c r="K55" s="2"/>
      <c r="L55" s="2"/>
      <c r="M55" s="2"/>
      <c r="N55" s="2"/>
      <c r="O55" s="2"/>
      <c r="P55" s="2"/>
    </row>
    <row r="56" spans="1:16">
      <c r="A56" s="2"/>
      <c r="B56" s="2"/>
      <c r="C56" s="2"/>
      <c r="D56" s="2"/>
      <c r="E56" s="2"/>
      <c r="F56" s="2"/>
      <c r="G56" s="2"/>
      <c r="H56" s="2"/>
      <c r="I56" s="2"/>
      <c r="J56" s="2"/>
      <c r="K56" s="2"/>
      <c r="L56" s="2"/>
      <c r="M56" s="2"/>
      <c r="N56" s="2"/>
      <c r="O56" s="2"/>
      <c r="P56" s="2"/>
    </row>
    <row r="57" spans="1:16">
      <c r="A57" s="2"/>
      <c r="B57" s="2"/>
      <c r="C57" s="2"/>
      <c r="D57" s="2"/>
      <c r="E57" s="2"/>
      <c r="F57" s="2"/>
      <c r="G57" s="2"/>
      <c r="H57" s="2"/>
      <c r="I57" s="2"/>
      <c r="J57" s="2"/>
      <c r="K57" s="2"/>
      <c r="L57" s="2"/>
      <c r="M57" s="2"/>
      <c r="N57" s="2"/>
      <c r="O57" s="2"/>
      <c r="P57" s="2"/>
    </row>
    <row r="58" spans="1:16">
      <c r="A58" s="2"/>
      <c r="B58" s="2"/>
      <c r="C58" s="2"/>
      <c r="D58" s="2"/>
      <c r="E58" s="2"/>
      <c r="F58" s="2"/>
      <c r="G58" s="2"/>
      <c r="H58" s="2"/>
      <c r="I58" s="2"/>
      <c r="J58" s="2"/>
      <c r="K58" s="2"/>
      <c r="L58" s="2"/>
      <c r="M58" s="2"/>
      <c r="N58" s="2"/>
      <c r="O58" s="2"/>
      <c r="P58" s="2"/>
    </row>
    <row r="59" spans="1:16">
      <c r="A59" s="2"/>
      <c r="B59" s="2"/>
      <c r="C59" s="2"/>
      <c r="D59" s="2"/>
      <c r="E59" s="2"/>
      <c r="F59" s="2"/>
      <c r="G59" s="2"/>
      <c r="H59" s="2"/>
      <c r="I59" s="2"/>
      <c r="J59" s="2"/>
      <c r="K59" s="2"/>
      <c r="L59" s="2"/>
      <c r="M59" s="2"/>
      <c r="N59" s="2"/>
      <c r="O59" s="2"/>
      <c r="P59" s="2"/>
    </row>
    <row r="60" spans="1:16">
      <c r="A60" s="2"/>
      <c r="B60" s="2"/>
      <c r="C60" s="2"/>
      <c r="D60" s="2"/>
      <c r="E60" s="2"/>
      <c r="F60" s="2"/>
      <c r="G60" s="2"/>
      <c r="H60" s="2"/>
      <c r="I60" s="2"/>
      <c r="J60" s="2"/>
      <c r="K60" s="2"/>
      <c r="L60" s="2"/>
      <c r="M60" s="2"/>
      <c r="N60" s="2"/>
      <c r="O60" s="2"/>
      <c r="P60" s="2"/>
    </row>
  </sheetData>
  <mergeCells count="3">
    <mergeCell ref="A1:J2"/>
    <mergeCell ref="A3:J4"/>
    <mergeCell ref="A32:J37"/>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0"/>
  <sheetViews>
    <sheetView workbookViewId="0">
      <selection activeCell="A1" sqref="A1:H2"/>
    </sheetView>
  </sheetViews>
  <sheetFormatPr defaultColWidth="9" defaultRowHeight="17.6"/>
  <cols>
    <col min="1" max="2" width="28" customWidth="1"/>
    <col min="3" max="3" width="24" customWidth="1"/>
    <col min="4" max="4" width="34" customWidth="1"/>
  </cols>
  <sheetData>
    <row r="1" spans="1:16">
      <c r="A1" s="1" t="s">
        <v>149</v>
      </c>
      <c r="B1" s="1"/>
      <c r="C1" s="1"/>
      <c r="D1" s="1"/>
      <c r="E1" s="1"/>
      <c r="F1" s="1"/>
      <c r="G1" s="1"/>
      <c r="H1" s="1"/>
      <c r="I1" s="2"/>
      <c r="J1" s="2"/>
      <c r="K1" s="2"/>
      <c r="L1" s="2"/>
      <c r="M1" s="2"/>
      <c r="N1" s="2"/>
      <c r="O1" s="2"/>
      <c r="P1" s="2"/>
    </row>
    <row r="2" spans="1:16">
      <c r="A2" s="1"/>
      <c r="B2" s="1"/>
      <c r="C2" s="1"/>
      <c r="D2" s="1"/>
      <c r="E2" s="1"/>
      <c r="F2" s="1"/>
      <c r="G2" s="1"/>
      <c r="H2" s="1"/>
      <c r="I2" s="2"/>
      <c r="J2" s="2"/>
      <c r="K2" s="2"/>
      <c r="L2" s="2"/>
      <c r="M2" s="2"/>
      <c r="N2" s="2"/>
      <c r="O2" s="2"/>
      <c r="P2" s="2"/>
    </row>
    <row r="3" spans="1:16">
      <c r="A3" s="2"/>
      <c r="B3" s="2"/>
      <c r="C3" s="2"/>
      <c r="D3" s="2"/>
      <c r="E3" s="2"/>
      <c r="F3" s="2"/>
      <c r="G3" s="2"/>
      <c r="H3" s="2"/>
      <c r="I3" s="2"/>
      <c r="J3" s="2"/>
      <c r="K3" s="2"/>
      <c r="L3" s="2"/>
      <c r="M3" s="2"/>
      <c r="N3" s="2"/>
      <c r="O3" s="2"/>
      <c r="P3" s="2"/>
    </row>
    <row r="4" spans="1:16">
      <c r="A4" s="2"/>
      <c r="B4" s="2"/>
      <c r="C4" s="2"/>
      <c r="D4" s="2"/>
      <c r="E4" s="2"/>
      <c r="F4" s="2"/>
      <c r="G4" s="2"/>
      <c r="H4" s="2"/>
      <c r="I4" s="2"/>
      <c r="J4" s="2"/>
      <c r="K4" s="2"/>
      <c r="L4" s="2"/>
      <c r="M4" s="2"/>
      <c r="N4" s="2"/>
      <c r="O4" s="2"/>
      <c r="P4" s="2"/>
    </row>
    <row r="5" ht="18" spans="1:16">
      <c r="A5" s="3" t="s">
        <v>150</v>
      </c>
      <c r="B5" s="3" t="s">
        <v>151</v>
      </c>
      <c r="C5" s="3" t="s">
        <v>152</v>
      </c>
      <c r="D5" s="3" t="s">
        <v>133</v>
      </c>
      <c r="E5" s="2"/>
      <c r="F5" s="2"/>
      <c r="G5" s="2"/>
      <c r="H5" s="2"/>
      <c r="I5" s="2"/>
      <c r="J5" s="2"/>
      <c r="K5" s="2"/>
      <c r="L5" s="2"/>
      <c r="M5" s="2"/>
      <c r="N5" s="2"/>
      <c r="O5" s="2"/>
      <c r="P5" s="2"/>
    </row>
    <row r="6" ht="18" spans="1:16">
      <c r="A6" s="4" t="s">
        <v>153</v>
      </c>
      <c r="B6" s="4" t="s">
        <v>154</v>
      </c>
      <c r="C6" s="4" t="s">
        <v>155</v>
      </c>
      <c r="D6" s="4" t="s">
        <v>156</v>
      </c>
      <c r="E6" s="2"/>
      <c r="F6" s="2"/>
      <c r="G6" s="2"/>
      <c r="H6" s="2"/>
      <c r="I6" s="2"/>
      <c r="J6" s="2"/>
      <c r="K6" s="2"/>
      <c r="L6" s="2"/>
      <c r="M6" s="2"/>
      <c r="N6" s="2"/>
      <c r="O6" s="2"/>
      <c r="P6" s="2"/>
    </row>
    <row r="7" ht="18" spans="1:16">
      <c r="A7" s="4" t="s">
        <v>157</v>
      </c>
      <c r="B7" s="4" t="s">
        <v>158</v>
      </c>
      <c r="C7" s="4" t="s">
        <v>159</v>
      </c>
      <c r="D7" s="4" t="s">
        <v>160</v>
      </c>
      <c r="E7" s="2"/>
      <c r="F7" s="2"/>
      <c r="G7" s="2"/>
      <c r="H7" s="2"/>
      <c r="I7" s="2"/>
      <c r="J7" s="2"/>
      <c r="K7" s="2"/>
      <c r="L7" s="2"/>
      <c r="M7" s="2"/>
      <c r="N7" s="2"/>
      <c r="O7" s="2"/>
      <c r="P7" s="2"/>
    </row>
    <row r="8" ht="18" spans="1:16">
      <c r="A8" s="4" t="s">
        <v>161</v>
      </c>
      <c r="B8" s="4" t="s">
        <v>162</v>
      </c>
      <c r="C8" s="4" t="s">
        <v>163</v>
      </c>
      <c r="D8" s="4" t="s">
        <v>164</v>
      </c>
      <c r="E8" s="2"/>
      <c r="F8" s="2"/>
      <c r="G8" s="2"/>
      <c r="H8" s="2"/>
      <c r="I8" s="2"/>
      <c r="J8" s="2"/>
      <c r="K8" s="2"/>
      <c r="L8" s="2"/>
      <c r="M8" s="2"/>
      <c r="N8" s="2"/>
      <c r="O8" s="2"/>
      <c r="P8" s="2"/>
    </row>
    <row r="9" ht="36" spans="1:16">
      <c r="A9" s="4" t="s">
        <v>165</v>
      </c>
      <c r="B9" s="4" t="s">
        <v>166</v>
      </c>
      <c r="C9" s="4" t="s">
        <v>167</v>
      </c>
      <c r="D9" s="4" t="s">
        <v>168</v>
      </c>
      <c r="E9" s="2"/>
      <c r="F9" s="2"/>
      <c r="G9" s="2"/>
      <c r="H9" s="2"/>
      <c r="I9" s="2"/>
      <c r="J9" s="2"/>
      <c r="K9" s="2"/>
      <c r="L9" s="2"/>
      <c r="M9" s="2"/>
      <c r="N9" s="2"/>
      <c r="O9" s="2"/>
      <c r="P9" s="2"/>
    </row>
    <row r="10" ht="18" spans="1:16">
      <c r="A10" s="4" t="s">
        <v>169</v>
      </c>
      <c r="B10" s="4" t="s">
        <v>170</v>
      </c>
      <c r="C10" s="4" t="s">
        <v>171</v>
      </c>
      <c r="D10" s="4" t="s">
        <v>172</v>
      </c>
      <c r="E10" s="2"/>
      <c r="F10" s="2"/>
      <c r="G10" s="2"/>
      <c r="H10" s="2"/>
      <c r="I10" s="2"/>
      <c r="J10" s="2"/>
      <c r="K10" s="2"/>
      <c r="L10" s="2"/>
      <c r="M10" s="2"/>
      <c r="N10" s="2"/>
      <c r="O10" s="2"/>
      <c r="P10" s="2"/>
    </row>
    <row r="11" ht="36" spans="1:16">
      <c r="A11" s="4" t="s">
        <v>173</v>
      </c>
      <c r="B11" s="4" t="s">
        <v>174</v>
      </c>
      <c r="C11" s="4" t="s">
        <v>175</v>
      </c>
      <c r="D11" s="4" t="s">
        <v>176</v>
      </c>
      <c r="E11" s="2"/>
      <c r="F11" s="2"/>
      <c r="G11" s="2"/>
      <c r="H11" s="2"/>
      <c r="I11" s="2"/>
      <c r="J11" s="2"/>
      <c r="K11" s="2"/>
      <c r="L11" s="2"/>
      <c r="M11" s="2"/>
      <c r="N11" s="2"/>
      <c r="O11" s="2"/>
      <c r="P11" s="2"/>
    </row>
    <row r="12" ht="18" spans="1:16">
      <c r="A12" s="4" t="s">
        <v>177</v>
      </c>
      <c r="B12" s="4" t="s">
        <v>178</v>
      </c>
      <c r="C12" s="4" t="s">
        <v>179</v>
      </c>
      <c r="D12" s="4" t="s">
        <v>180</v>
      </c>
      <c r="E12" s="2"/>
      <c r="F12" s="2"/>
      <c r="G12" s="2"/>
      <c r="H12" s="2"/>
      <c r="I12" s="2"/>
      <c r="J12" s="2"/>
      <c r="K12" s="2"/>
      <c r="L12" s="2"/>
      <c r="M12" s="2"/>
      <c r="N12" s="2"/>
      <c r="O12" s="2"/>
      <c r="P12" s="2"/>
    </row>
    <row r="13" ht="36" spans="1:16">
      <c r="A13" s="4" t="s">
        <v>181</v>
      </c>
      <c r="B13" s="4" t="s">
        <v>182</v>
      </c>
      <c r="C13" s="4" t="s">
        <v>183</v>
      </c>
      <c r="D13" s="4" t="s">
        <v>184</v>
      </c>
      <c r="E13" s="2"/>
      <c r="F13" s="2"/>
      <c r="G13" s="2"/>
      <c r="H13" s="2"/>
      <c r="I13" s="2"/>
      <c r="J13" s="2"/>
      <c r="K13" s="2"/>
      <c r="L13" s="2"/>
      <c r="M13" s="2"/>
      <c r="N13" s="2"/>
      <c r="O13" s="2"/>
      <c r="P13" s="2"/>
    </row>
    <row r="14" ht="36" spans="1:16">
      <c r="A14" s="4" t="s">
        <v>185</v>
      </c>
      <c r="B14" s="4" t="s">
        <v>186</v>
      </c>
      <c r="C14" s="4" t="s">
        <v>183</v>
      </c>
      <c r="D14" s="4" t="s">
        <v>187</v>
      </c>
      <c r="E14" s="2"/>
      <c r="F14" s="2"/>
      <c r="G14" s="2"/>
      <c r="H14" s="2"/>
      <c r="I14" s="2"/>
      <c r="J14" s="2"/>
      <c r="K14" s="2"/>
      <c r="L14" s="2"/>
      <c r="M14" s="2"/>
      <c r="N14" s="2"/>
      <c r="O14" s="2"/>
      <c r="P14" s="2"/>
    </row>
    <row r="15" ht="18" spans="1:16">
      <c r="A15" s="4" t="s">
        <v>36</v>
      </c>
      <c r="B15" s="4" t="s">
        <v>188</v>
      </c>
      <c r="C15" s="4" t="s">
        <v>189</v>
      </c>
      <c r="D15" s="4" t="s">
        <v>190</v>
      </c>
      <c r="E15" s="2"/>
      <c r="F15" s="2"/>
      <c r="G15" s="2"/>
      <c r="H15" s="2"/>
      <c r="I15" s="2"/>
      <c r="J15" s="2"/>
      <c r="K15" s="2"/>
      <c r="L15" s="2"/>
      <c r="M15" s="2"/>
      <c r="N15" s="2"/>
      <c r="O15" s="2"/>
      <c r="P15" s="2"/>
    </row>
    <row r="16" spans="1:16">
      <c r="A16" s="2"/>
      <c r="B16" s="2"/>
      <c r="C16" s="2"/>
      <c r="D16" s="2"/>
      <c r="E16" s="2"/>
      <c r="F16" s="2"/>
      <c r="G16" s="2"/>
      <c r="H16" s="2"/>
      <c r="I16" s="2"/>
      <c r="J16" s="2"/>
      <c r="K16" s="2"/>
      <c r="L16" s="2"/>
      <c r="M16" s="2"/>
      <c r="N16" s="2"/>
      <c r="O16" s="2"/>
      <c r="P16" s="2"/>
    </row>
    <row r="17" spans="1:16">
      <c r="A17" s="2"/>
      <c r="B17" s="2"/>
      <c r="C17" s="2"/>
      <c r="D17" s="2"/>
      <c r="E17" s="2"/>
      <c r="F17" s="2"/>
      <c r="G17" s="2"/>
      <c r="H17" s="2"/>
      <c r="I17" s="2"/>
      <c r="J17" s="2"/>
      <c r="K17" s="2"/>
      <c r="L17" s="2"/>
      <c r="M17" s="2"/>
      <c r="N17" s="2"/>
      <c r="O17" s="2"/>
      <c r="P17" s="2"/>
    </row>
    <row r="18" ht="18" spans="1:16">
      <c r="A18" s="3" t="s">
        <v>191</v>
      </c>
      <c r="B18" s="3" t="s">
        <v>151</v>
      </c>
      <c r="C18" s="3" t="s">
        <v>192</v>
      </c>
      <c r="D18" s="3" t="s">
        <v>193</v>
      </c>
      <c r="E18" s="2"/>
      <c r="F18" s="2"/>
      <c r="G18" s="2"/>
      <c r="H18" s="2"/>
      <c r="I18" s="2"/>
      <c r="J18" s="2"/>
      <c r="K18" s="2"/>
      <c r="L18" s="2"/>
      <c r="M18" s="2"/>
      <c r="N18" s="2"/>
      <c r="O18" s="2"/>
      <c r="P18" s="2"/>
    </row>
    <row r="19" ht="18" spans="1:16">
      <c r="A19" s="4" t="s">
        <v>194</v>
      </c>
      <c r="B19" s="4" t="s">
        <v>195</v>
      </c>
      <c r="C19" s="4" t="s">
        <v>196</v>
      </c>
      <c r="D19" s="4" t="s">
        <v>197</v>
      </c>
      <c r="E19" s="2"/>
      <c r="F19" s="2"/>
      <c r="G19" s="2"/>
      <c r="H19" s="2"/>
      <c r="I19" s="2"/>
      <c r="J19" s="2"/>
      <c r="K19" s="2"/>
      <c r="L19" s="2"/>
      <c r="M19" s="2"/>
      <c r="N19" s="2"/>
      <c r="O19" s="2"/>
      <c r="P19" s="2"/>
    </row>
    <row r="20" ht="18" spans="1:16">
      <c r="A20" s="4" t="s">
        <v>198</v>
      </c>
      <c r="B20" s="4" t="s">
        <v>199</v>
      </c>
      <c r="C20" s="4" t="s">
        <v>200</v>
      </c>
      <c r="D20" s="4" t="s">
        <v>201</v>
      </c>
      <c r="E20" s="2"/>
      <c r="F20" s="2"/>
      <c r="G20" s="2"/>
      <c r="H20" s="2"/>
      <c r="I20" s="2"/>
      <c r="J20" s="2"/>
      <c r="K20" s="2"/>
      <c r="L20" s="2"/>
      <c r="M20" s="2"/>
      <c r="N20" s="2"/>
      <c r="O20" s="2"/>
      <c r="P20" s="2"/>
    </row>
    <row r="21" ht="36" spans="1:16">
      <c r="A21" s="4" t="s">
        <v>202</v>
      </c>
      <c r="B21" s="4" t="s">
        <v>203</v>
      </c>
      <c r="C21" s="4" t="s">
        <v>200</v>
      </c>
      <c r="D21" s="4" t="s">
        <v>204</v>
      </c>
      <c r="E21" s="2"/>
      <c r="F21" s="2"/>
      <c r="G21" s="2"/>
      <c r="H21" s="2"/>
      <c r="I21" s="2"/>
      <c r="J21" s="2"/>
      <c r="K21" s="2"/>
      <c r="L21" s="2"/>
      <c r="M21" s="2"/>
      <c r="N21" s="2"/>
      <c r="O21" s="2"/>
      <c r="P21" s="2"/>
    </row>
    <row r="22" ht="36" spans="1:16">
      <c r="A22" s="4" t="s">
        <v>205</v>
      </c>
      <c r="B22" s="4" t="s">
        <v>206</v>
      </c>
      <c r="C22" s="4" t="s">
        <v>207</v>
      </c>
      <c r="D22" s="4" t="s">
        <v>208</v>
      </c>
      <c r="E22" s="2"/>
      <c r="F22" s="2"/>
      <c r="G22" s="2"/>
      <c r="H22" s="2"/>
      <c r="I22" s="2"/>
      <c r="J22" s="2"/>
      <c r="K22" s="2"/>
      <c r="L22" s="2"/>
      <c r="M22" s="2"/>
      <c r="N22" s="2"/>
      <c r="O22" s="2"/>
      <c r="P22" s="2"/>
    </row>
    <row r="23" spans="1:16">
      <c r="A23" s="2"/>
      <c r="B23" s="2"/>
      <c r="C23" s="2"/>
      <c r="D23" s="2"/>
      <c r="E23" s="2"/>
      <c r="F23" s="2"/>
      <c r="G23" s="2"/>
      <c r="H23" s="2"/>
      <c r="I23" s="2"/>
      <c r="J23" s="2"/>
      <c r="K23" s="2"/>
      <c r="L23" s="2"/>
      <c r="M23" s="2"/>
      <c r="N23" s="2"/>
      <c r="O23" s="2"/>
      <c r="P23" s="2"/>
    </row>
    <row r="24" spans="1:16">
      <c r="A24" s="2"/>
      <c r="B24" s="2"/>
      <c r="C24" s="2"/>
      <c r="D24" s="2"/>
      <c r="E24" s="2"/>
      <c r="F24" s="2"/>
      <c r="G24" s="2"/>
      <c r="H24" s="2"/>
      <c r="I24" s="2"/>
      <c r="J24" s="2"/>
      <c r="K24" s="2"/>
      <c r="L24" s="2"/>
      <c r="M24" s="2"/>
      <c r="N24" s="2"/>
      <c r="O24" s="2"/>
      <c r="P24" s="2"/>
    </row>
    <row r="25" spans="1:16">
      <c r="A25" s="5" t="s">
        <v>209</v>
      </c>
      <c r="B25" s="5"/>
      <c r="C25" s="5"/>
      <c r="D25" s="5"/>
      <c r="E25" s="5"/>
      <c r="F25" s="5"/>
      <c r="G25" s="5"/>
      <c r="H25" s="5"/>
      <c r="I25" s="2"/>
      <c r="J25" s="2"/>
      <c r="K25" s="2"/>
      <c r="L25" s="2"/>
      <c r="M25" s="2"/>
      <c r="N25" s="2"/>
      <c r="O25" s="2"/>
      <c r="P25" s="2"/>
    </row>
    <row r="26" ht="18" spans="1:16">
      <c r="A26" s="6" t="s">
        <v>210</v>
      </c>
      <c r="B26" s="6" t="s">
        <v>211</v>
      </c>
      <c r="C26" s="6" t="s">
        <v>212</v>
      </c>
      <c r="D26" s="2"/>
      <c r="E26" s="2"/>
      <c r="F26" s="2"/>
      <c r="G26" s="2"/>
      <c r="H26" s="2"/>
      <c r="I26" s="2"/>
      <c r="J26" s="2"/>
      <c r="K26" s="2"/>
      <c r="L26" s="2"/>
      <c r="M26" s="2"/>
      <c r="N26" s="2"/>
      <c r="O26" s="2"/>
      <c r="P26" s="2"/>
    </row>
    <row r="27" ht="36" spans="1:16">
      <c r="A27" s="4" t="s">
        <v>213</v>
      </c>
      <c r="B27" s="4" t="s">
        <v>214</v>
      </c>
      <c r="C27" s="4" t="s">
        <v>215</v>
      </c>
      <c r="D27" s="2"/>
      <c r="E27" s="2"/>
      <c r="F27" s="2"/>
      <c r="G27" s="2"/>
      <c r="H27" s="2"/>
      <c r="I27" s="2"/>
      <c r="J27" s="2"/>
      <c r="K27" s="2"/>
      <c r="L27" s="2"/>
      <c r="M27" s="2"/>
      <c r="N27" s="2"/>
      <c r="O27" s="2"/>
      <c r="P27" s="2"/>
    </row>
    <row r="28" ht="53" spans="1:16">
      <c r="A28" s="4" t="s">
        <v>216</v>
      </c>
      <c r="B28" s="4" t="s">
        <v>217</v>
      </c>
      <c r="C28" s="4" t="s">
        <v>218</v>
      </c>
      <c r="D28" s="2"/>
      <c r="E28" s="2"/>
      <c r="F28" s="2"/>
      <c r="G28" s="2"/>
      <c r="H28" s="2"/>
      <c r="I28" s="2"/>
      <c r="J28" s="2"/>
      <c r="K28" s="2"/>
      <c r="L28" s="2"/>
      <c r="M28" s="2"/>
      <c r="N28" s="2"/>
      <c r="O28" s="2"/>
      <c r="P28" s="2"/>
    </row>
    <row r="29" ht="36" spans="1:16">
      <c r="A29" s="4" t="s">
        <v>219</v>
      </c>
      <c r="B29" s="4" t="s">
        <v>220</v>
      </c>
      <c r="C29" s="4" t="s">
        <v>221</v>
      </c>
      <c r="D29" s="2"/>
      <c r="E29" s="2"/>
      <c r="F29" s="2"/>
      <c r="G29" s="2"/>
      <c r="H29" s="2"/>
      <c r="I29" s="2"/>
      <c r="J29" s="2"/>
      <c r="K29" s="2"/>
      <c r="L29" s="2"/>
      <c r="M29" s="2"/>
      <c r="N29" s="2"/>
      <c r="O29" s="2"/>
      <c r="P29" s="2"/>
    </row>
    <row r="30" ht="36" spans="1:16">
      <c r="A30" s="4" t="s">
        <v>222</v>
      </c>
      <c r="B30" s="4" t="s">
        <v>223</v>
      </c>
      <c r="C30" s="4" t="s">
        <v>224</v>
      </c>
      <c r="D30" s="2"/>
      <c r="E30" s="2"/>
      <c r="F30" s="2"/>
      <c r="G30" s="2"/>
      <c r="H30" s="2"/>
      <c r="I30" s="2"/>
      <c r="J30" s="2"/>
      <c r="K30" s="2"/>
      <c r="L30" s="2"/>
      <c r="M30" s="2"/>
      <c r="N30" s="2"/>
      <c r="O30" s="2"/>
      <c r="P30" s="2"/>
    </row>
    <row r="31" spans="1:16">
      <c r="A31" s="2"/>
      <c r="B31" s="2"/>
      <c r="C31" s="2"/>
      <c r="D31" s="2"/>
      <c r="E31" s="2"/>
      <c r="F31" s="2"/>
      <c r="G31" s="2"/>
      <c r="H31" s="2"/>
      <c r="I31" s="2"/>
      <c r="J31" s="2"/>
      <c r="K31" s="2"/>
      <c r="L31" s="2"/>
      <c r="M31" s="2"/>
      <c r="N31" s="2"/>
      <c r="O31" s="2"/>
      <c r="P31" s="2"/>
    </row>
    <row r="32" spans="1:16">
      <c r="A32" s="2"/>
      <c r="B32" s="2"/>
      <c r="C32" s="2"/>
      <c r="D32" s="2"/>
      <c r="E32" s="2"/>
      <c r="F32" s="2"/>
      <c r="G32" s="2"/>
      <c r="H32" s="2"/>
      <c r="I32" s="2"/>
      <c r="J32" s="2"/>
      <c r="K32" s="2"/>
      <c r="L32" s="2"/>
      <c r="M32" s="2"/>
      <c r="N32" s="2"/>
      <c r="O32" s="2"/>
      <c r="P32" s="2"/>
    </row>
    <row r="33" spans="1:16">
      <c r="A33" s="2"/>
      <c r="B33" s="2"/>
      <c r="C33" s="2"/>
      <c r="D33" s="2"/>
      <c r="E33" s="2"/>
      <c r="F33" s="2"/>
      <c r="G33" s="2"/>
      <c r="H33" s="2"/>
      <c r="I33" s="2"/>
      <c r="J33" s="2"/>
      <c r="K33" s="2"/>
      <c r="L33" s="2"/>
      <c r="M33" s="2"/>
      <c r="N33" s="2"/>
      <c r="O33" s="2"/>
      <c r="P33" s="2"/>
    </row>
    <row r="34" spans="1:16">
      <c r="A34" s="2"/>
      <c r="B34" s="2"/>
      <c r="C34" s="2"/>
      <c r="D34" s="2"/>
      <c r="E34" s="2"/>
      <c r="F34" s="2"/>
      <c r="G34" s="2"/>
      <c r="H34" s="2"/>
      <c r="I34" s="2"/>
      <c r="J34" s="2"/>
      <c r="K34" s="2"/>
      <c r="L34" s="2"/>
      <c r="M34" s="2"/>
      <c r="N34" s="2"/>
      <c r="O34" s="2"/>
      <c r="P34" s="2"/>
    </row>
    <row r="35" spans="1:16">
      <c r="A35" s="2"/>
      <c r="B35" s="2"/>
      <c r="C35" s="2"/>
      <c r="D35" s="2"/>
      <c r="E35" s="2"/>
      <c r="F35" s="2"/>
      <c r="G35" s="2"/>
      <c r="H35" s="2"/>
      <c r="I35" s="2"/>
      <c r="J35" s="2"/>
      <c r="K35" s="2"/>
      <c r="L35" s="2"/>
      <c r="M35" s="2"/>
      <c r="N35" s="2"/>
      <c r="O35" s="2"/>
      <c r="P35" s="2"/>
    </row>
    <row r="36" spans="1:16">
      <c r="A36" s="2"/>
      <c r="B36" s="2"/>
      <c r="C36" s="2"/>
      <c r="D36" s="2"/>
      <c r="E36" s="2"/>
      <c r="F36" s="2"/>
      <c r="G36" s="2"/>
      <c r="H36" s="2"/>
      <c r="I36" s="2"/>
      <c r="J36" s="2"/>
      <c r="K36" s="2"/>
      <c r="L36" s="2"/>
      <c r="M36" s="2"/>
      <c r="N36" s="2"/>
      <c r="O36" s="2"/>
      <c r="P36" s="2"/>
    </row>
    <row r="37" spans="1:16">
      <c r="A37" s="2"/>
      <c r="B37" s="2"/>
      <c r="C37" s="2"/>
      <c r="D37" s="2"/>
      <c r="E37" s="2"/>
      <c r="F37" s="2"/>
      <c r="G37" s="2"/>
      <c r="H37" s="2"/>
      <c r="I37" s="2"/>
      <c r="J37" s="2"/>
      <c r="K37" s="2"/>
      <c r="L37" s="2"/>
      <c r="M37" s="2"/>
      <c r="N37" s="2"/>
      <c r="O37" s="2"/>
      <c r="P37" s="2"/>
    </row>
    <row r="38" spans="1:16">
      <c r="A38" s="2"/>
      <c r="B38" s="2"/>
      <c r="C38" s="2"/>
      <c r="D38" s="2"/>
      <c r="E38" s="2"/>
      <c r="F38" s="2"/>
      <c r="G38" s="2"/>
      <c r="H38" s="2"/>
      <c r="I38" s="2"/>
      <c r="J38" s="2"/>
      <c r="K38" s="2"/>
      <c r="L38" s="2"/>
      <c r="M38" s="2"/>
      <c r="N38" s="2"/>
      <c r="O38" s="2"/>
      <c r="P38" s="2"/>
    </row>
    <row r="39" spans="1:16">
      <c r="A39" s="2"/>
      <c r="B39" s="2"/>
      <c r="C39" s="2"/>
      <c r="D39" s="2"/>
      <c r="E39" s="2"/>
      <c r="F39" s="2"/>
      <c r="G39" s="2"/>
      <c r="H39" s="2"/>
      <c r="I39" s="2"/>
      <c r="J39" s="2"/>
      <c r="K39" s="2"/>
      <c r="L39" s="2"/>
      <c r="M39" s="2"/>
      <c r="N39" s="2"/>
      <c r="O39" s="2"/>
      <c r="P39" s="2"/>
    </row>
    <row r="40" spans="1:16">
      <c r="A40" s="2"/>
      <c r="B40" s="2"/>
      <c r="C40" s="2"/>
      <c r="D40" s="2"/>
      <c r="E40" s="2"/>
      <c r="F40" s="2"/>
      <c r="G40" s="2"/>
      <c r="H40" s="2"/>
      <c r="I40" s="2"/>
      <c r="J40" s="2"/>
      <c r="K40" s="2"/>
      <c r="L40" s="2"/>
      <c r="M40" s="2"/>
      <c r="N40" s="2"/>
      <c r="O40" s="2"/>
      <c r="P40" s="2"/>
    </row>
    <row r="41" spans="1:16">
      <c r="A41" s="2"/>
      <c r="B41" s="2"/>
      <c r="C41" s="2"/>
      <c r="D41" s="2"/>
      <c r="E41" s="2"/>
      <c r="F41" s="2"/>
      <c r="G41" s="2"/>
      <c r="H41" s="2"/>
      <c r="I41" s="2"/>
      <c r="J41" s="2"/>
      <c r="K41" s="2"/>
      <c r="L41" s="2"/>
      <c r="M41" s="2"/>
      <c r="N41" s="2"/>
      <c r="O41" s="2"/>
      <c r="P41" s="2"/>
    </row>
    <row r="42" spans="1:16">
      <c r="A42" s="2"/>
      <c r="B42" s="2"/>
      <c r="C42" s="2"/>
      <c r="D42" s="2"/>
      <c r="E42" s="2"/>
      <c r="F42" s="2"/>
      <c r="G42" s="2"/>
      <c r="H42" s="2"/>
      <c r="I42" s="2"/>
      <c r="J42" s="2"/>
      <c r="K42" s="2"/>
      <c r="L42" s="2"/>
      <c r="M42" s="2"/>
      <c r="N42" s="2"/>
      <c r="O42" s="2"/>
      <c r="P42" s="2"/>
    </row>
    <row r="43" spans="1:16">
      <c r="A43" s="2"/>
      <c r="B43" s="2"/>
      <c r="C43" s="2"/>
      <c r="D43" s="2"/>
      <c r="E43" s="2"/>
      <c r="F43" s="2"/>
      <c r="G43" s="2"/>
      <c r="H43" s="2"/>
      <c r="I43" s="2"/>
      <c r="J43" s="2"/>
      <c r="K43" s="2"/>
      <c r="L43" s="2"/>
      <c r="M43" s="2"/>
      <c r="N43" s="2"/>
      <c r="O43" s="2"/>
      <c r="P43" s="2"/>
    </row>
    <row r="44" spans="1:16">
      <c r="A44" s="2"/>
      <c r="B44" s="2"/>
      <c r="C44" s="2"/>
      <c r="D44" s="2"/>
      <c r="E44" s="2"/>
      <c r="F44" s="2"/>
      <c r="G44" s="2"/>
      <c r="H44" s="2"/>
      <c r="I44" s="2"/>
      <c r="J44" s="2"/>
      <c r="K44" s="2"/>
      <c r="L44" s="2"/>
      <c r="M44" s="2"/>
      <c r="N44" s="2"/>
      <c r="O44" s="2"/>
      <c r="P44" s="2"/>
    </row>
    <row r="45" spans="1:16">
      <c r="A45" s="2"/>
      <c r="B45" s="2"/>
      <c r="C45" s="2"/>
      <c r="D45" s="2"/>
      <c r="E45" s="2"/>
      <c r="F45" s="2"/>
      <c r="G45" s="2"/>
      <c r="H45" s="2"/>
      <c r="I45" s="2"/>
      <c r="J45" s="2"/>
      <c r="K45" s="2"/>
      <c r="L45" s="2"/>
      <c r="M45" s="2"/>
      <c r="N45" s="2"/>
      <c r="O45" s="2"/>
      <c r="P45" s="2"/>
    </row>
    <row r="46" spans="1:16">
      <c r="A46" s="2"/>
      <c r="B46" s="2"/>
      <c r="C46" s="2"/>
      <c r="D46" s="2"/>
      <c r="E46" s="2"/>
      <c r="F46" s="2"/>
      <c r="G46" s="2"/>
      <c r="H46" s="2"/>
      <c r="I46" s="2"/>
      <c r="J46" s="2"/>
      <c r="K46" s="2"/>
      <c r="L46" s="2"/>
      <c r="M46" s="2"/>
      <c r="N46" s="2"/>
      <c r="O46" s="2"/>
      <c r="P46" s="2"/>
    </row>
    <row r="47" spans="1:16">
      <c r="A47" s="2"/>
      <c r="B47" s="2"/>
      <c r="C47" s="2"/>
      <c r="D47" s="2"/>
      <c r="E47" s="2"/>
      <c r="F47" s="2"/>
      <c r="G47" s="2"/>
      <c r="H47" s="2"/>
      <c r="I47" s="2"/>
      <c r="J47" s="2"/>
      <c r="K47" s="2"/>
      <c r="L47" s="2"/>
      <c r="M47" s="2"/>
      <c r="N47" s="2"/>
      <c r="O47" s="2"/>
      <c r="P47" s="2"/>
    </row>
    <row r="48" spans="1:16">
      <c r="A48" s="2"/>
      <c r="B48" s="2"/>
      <c r="C48" s="2"/>
      <c r="D48" s="2"/>
      <c r="E48" s="2"/>
      <c r="F48" s="2"/>
      <c r="G48" s="2"/>
      <c r="H48" s="2"/>
      <c r="I48" s="2"/>
      <c r="J48" s="2"/>
      <c r="K48" s="2"/>
      <c r="L48" s="2"/>
      <c r="M48" s="2"/>
      <c r="N48" s="2"/>
      <c r="O48" s="2"/>
      <c r="P48" s="2"/>
    </row>
    <row r="49" spans="1:16">
      <c r="A49" s="2"/>
      <c r="B49" s="2"/>
      <c r="C49" s="2"/>
      <c r="D49" s="2"/>
      <c r="E49" s="2"/>
      <c r="F49" s="2"/>
      <c r="G49" s="2"/>
      <c r="H49" s="2"/>
      <c r="I49" s="2"/>
      <c r="J49" s="2"/>
      <c r="K49" s="2"/>
      <c r="L49" s="2"/>
      <c r="M49" s="2"/>
      <c r="N49" s="2"/>
      <c r="O49" s="2"/>
      <c r="P49" s="2"/>
    </row>
    <row r="50" spans="1:16">
      <c r="A50" s="2"/>
      <c r="B50" s="2"/>
      <c r="C50" s="2"/>
      <c r="D50" s="2"/>
      <c r="E50" s="2"/>
      <c r="F50" s="2"/>
      <c r="G50" s="2"/>
      <c r="H50" s="2"/>
      <c r="I50" s="2"/>
      <c r="J50" s="2"/>
      <c r="K50" s="2"/>
      <c r="L50" s="2"/>
      <c r="M50" s="2"/>
      <c r="N50" s="2"/>
      <c r="O50" s="2"/>
      <c r="P50" s="2"/>
    </row>
    <row r="51" spans="1:16">
      <c r="A51" s="2"/>
      <c r="B51" s="2"/>
      <c r="C51" s="2"/>
      <c r="D51" s="2"/>
      <c r="E51" s="2"/>
      <c r="F51" s="2"/>
      <c r="G51" s="2"/>
      <c r="H51" s="2"/>
      <c r="I51" s="2"/>
      <c r="J51" s="2"/>
      <c r="K51" s="2"/>
      <c r="L51" s="2"/>
      <c r="M51" s="2"/>
      <c r="N51" s="2"/>
      <c r="O51" s="2"/>
      <c r="P51" s="2"/>
    </row>
    <row r="52" spans="1:16">
      <c r="A52" s="2"/>
      <c r="B52" s="2"/>
      <c r="C52" s="2"/>
      <c r="D52" s="2"/>
      <c r="E52" s="2"/>
      <c r="F52" s="2"/>
      <c r="G52" s="2"/>
      <c r="H52" s="2"/>
      <c r="I52" s="2"/>
      <c r="J52" s="2"/>
      <c r="K52" s="2"/>
      <c r="L52" s="2"/>
      <c r="M52" s="2"/>
      <c r="N52" s="2"/>
      <c r="O52" s="2"/>
      <c r="P52" s="2"/>
    </row>
    <row r="53" spans="1:16">
      <c r="A53" s="2"/>
      <c r="B53" s="2"/>
      <c r="C53" s="2"/>
      <c r="D53" s="2"/>
      <c r="E53" s="2"/>
      <c r="F53" s="2"/>
      <c r="G53" s="2"/>
      <c r="H53" s="2"/>
      <c r="I53" s="2"/>
      <c r="J53" s="2"/>
      <c r="K53" s="2"/>
      <c r="L53" s="2"/>
      <c r="M53" s="2"/>
      <c r="N53" s="2"/>
      <c r="O53" s="2"/>
      <c r="P53" s="2"/>
    </row>
    <row r="54" spans="1:16">
      <c r="A54" s="2"/>
      <c r="B54" s="2"/>
      <c r="C54" s="2"/>
      <c r="D54" s="2"/>
      <c r="E54" s="2"/>
      <c r="F54" s="2"/>
      <c r="G54" s="2"/>
      <c r="H54" s="2"/>
      <c r="I54" s="2"/>
      <c r="J54" s="2"/>
      <c r="K54" s="2"/>
      <c r="L54" s="2"/>
      <c r="M54" s="2"/>
      <c r="N54" s="2"/>
      <c r="O54" s="2"/>
      <c r="P54" s="2"/>
    </row>
    <row r="55" spans="1:16">
      <c r="A55" s="2"/>
      <c r="B55" s="2"/>
      <c r="C55" s="2"/>
      <c r="D55" s="2"/>
      <c r="E55" s="2"/>
      <c r="F55" s="2"/>
      <c r="G55" s="2"/>
      <c r="H55" s="2"/>
      <c r="I55" s="2"/>
      <c r="J55" s="2"/>
      <c r="K55" s="2"/>
      <c r="L55" s="2"/>
      <c r="M55" s="2"/>
      <c r="N55" s="2"/>
      <c r="O55" s="2"/>
      <c r="P55" s="2"/>
    </row>
    <row r="56" spans="1:16">
      <c r="A56" s="2"/>
      <c r="B56" s="2"/>
      <c r="C56" s="2"/>
      <c r="D56" s="2"/>
      <c r="E56" s="2"/>
      <c r="F56" s="2"/>
      <c r="G56" s="2"/>
      <c r="H56" s="2"/>
      <c r="I56" s="2"/>
      <c r="J56" s="2"/>
      <c r="K56" s="2"/>
      <c r="L56" s="2"/>
      <c r="M56" s="2"/>
      <c r="N56" s="2"/>
      <c r="O56" s="2"/>
      <c r="P56" s="2"/>
    </row>
    <row r="57" spans="1:16">
      <c r="A57" s="2"/>
      <c r="B57" s="2"/>
      <c r="C57" s="2"/>
      <c r="D57" s="2"/>
      <c r="E57" s="2"/>
      <c r="F57" s="2"/>
      <c r="G57" s="2"/>
      <c r="H57" s="2"/>
      <c r="I57" s="2"/>
      <c r="J57" s="2"/>
      <c r="K57" s="2"/>
      <c r="L57" s="2"/>
      <c r="M57" s="2"/>
      <c r="N57" s="2"/>
      <c r="O57" s="2"/>
      <c r="P57" s="2"/>
    </row>
    <row r="58" spans="1:16">
      <c r="A58" s="2"/>
      <c r="B58" s="2"/>
      <c r="C58" s="2"/>
      <c r="D58" s="2"/>
      <c r="E58" s="2"/>
      <c r="F58" s="2"/>
      <c r="G58" s="2"/>
      <c r="H58" s="2"/>
      <c r="I58" s="2"/>
      <c r="J58" s="2"/>
      <c r="K58" s="2"/>
      <c r="L58" s="2"/>
      <c r="M58" s="2"/>
      <c r="N58" s="2"/>
      <c r="O58" s="2"/>
      <c r="P58" s="2"/>
    </row>
    <row r="59" spans="1:16">
      <c r="A59" s="2"/>
      <c r="B59" s="2"/>
      <c r="C59" s="2"/>
      <c r="D59" s="2"/>
      <c r="E59" s="2"/>
      <c r="F59" s="2"/>
      <c r="G59" s="2"/>
      <c r="H59" s="2"/>
      <c r="I59" s="2"/>
      <c r="J59" s="2"/>
      <c r="K59" s="2"/>
      <c r="L59" s="2"/>
      <c r="M59" s="2"/>
      <c r="N59" s="2"/>
      <c r="O59" s="2"/>
      <c r="P59" s="2"/>
    </row>
    <row r="60" spans="1:16">
      <c r="A60" s="2"/>
      <c r="B60" s="2"/>
      <c r="C60" s="2"/>
      <c r="D60" s="2"/>
      <c r="E60" s="2"/>
      <c r="F60" s="2"/>
      <c r="G60" s="2"/>
      <c r="H60" s="2"/>
      <c r="I60" s="2"/>
      <c r="J60" s="2"/>
      <c r="K60" s="2"/>
      <c r="L60" s="2"/>
      <c r="M60" s="2"/>
      <c r="N60" s="2"/>
      <c r="O60" s="2"/>
      <c r="P60" s="2"/>
    </row>
  </sheetData>
  <mergeCells count="2">
    <mergeCell ref="A25:H25"/>
    <mergeCell ref="A1:H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00_Project_Overview</vt:lpstr>
      <vt:lpstr>1Healthcare</vt:lpstr>
      <vt:lpstr>02_Results_Dashboard</vt:lpstr>
      <vt:lpstr>03_Convergence</vt:lpstr>
      <vt:lpstr>04_Documentation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2026-10-03T17:09:31Z</dcterms:created>
  <dcterms:modified xsi:type="dcterms:W3CDTF">2026-10-03T17:13:21Z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A9CE05528697D1D6AEC6C06A7B2BFA23_42</vt:lpwstr>
  </property>
  <property fmtid="{D5CDD505-2E9C-101B-9397-08002B2CF9AE}" pid="3" name="KSOProductBuildVer">
    <vt:lpwstr>1033-6.14.0.8924</vt:lpwstr>
  </property>
</Properties>
</file>